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45" windowWidth="15195" windowHeight="8130"/>
  </bookViews>
  <sheets>
    <sheet name="Лист1" sheetId="1" r:id="rId1"/>
    <sheet name="Лист2" sheetId="2" r:id="rId2"/>
    <sheet name="Лист3" sheetId="3" r:id="rId3"/>
  </sheets>
  <functionGroups/>
  <calcPr calcId="125725"/>
</workbook>
</file>

<file path=xl/calcChain.xml><?xml version="1.0" encoding="utf-8"?>
<calcChain xmlns="http://schemas.openxmlformats.org/spreadsheetml/2006/main">
  <c r="AE3" i="1"/>
  <c r="AF3"/>
  <c r="AG3"/>
  <c r="AH3"/>
  <c r="AI3"/>
  <c r="AJ3"/>
  <c r="AK3"/>
  <c r="AL3"/>
  <c r="AM3"/>
  <c r="AN3"/>
  <c r="AO3"/>
  <c r="AE4"/>
  <c r="AF4"/>
  <c r="AG4"/>
  <c r="AH4"/>
  <c r="AI4"/>
  <c r="AJ4"/>
  <c r="AK4"/>
  <c r="AL4"/>
  <c r="AM4"/>
  <c r="AN4"/>
  <c r="AO4"/>
  <c r="AE5"/>
  <c r="AF5"/>
  <c r="AG5"/>
  <c r="AH5"/>
  <c r="AI5"/>
  <c r="AJ5"/>
  <c r="AK5"/>
  <c r="AL5"/>
  <c r="AM5"/>
  <c r="AN5"/>
  <c r="AO5"/>
  <c r="AE6"/>
  <c r="AF6"/>
  <c r="AG6"/>
  <c r="AH6"/>
  <c r="AI6"/>
  <c r="AJ6"/>
  <c r="AK6"/>
  <c r="AL6"/>
  <c r="AM6"/>
  <c r="AN6"/>
  <c r="AO6"/>
  <c r="AE7"/>
  <c r="AF7"/>
  <c r="AG7"/>
  <c r="AH7"/>
  <c r="AI7"/>
  <c r="AJ7"/>
  <c r="AK7"/>
  <c r="AL7"/>
  <c r="AM7"/>
  <c r="AN7"/>
  <c r="AO7"/>
  <c r="AE8"/>
  <c r="AF8"/>
  <c r="AG8"/>
  <c r="AH8"/>
  <c r="AI8"/>
  <c r="AJ8"/>
  <c r="AK8"/>
  <c r="AL8"/>
  <c r="AM8"/>
  <c r="AN8"/>
  <c r="AO8"/>
  <c r="AF9"/>
  <c r="AG9"/>
  <c r="AH9"/>
  <c r="AI9"/>
  <c r="AJ9"/>
  <c r="AK9"/>
  <c r="AL9"/>
  <c r="AM9"/>
  <c r="AN9"/>
  <c r="AO9"/>
  <c r="AE10"/>
  <c r="AF10"/>
  <c r="AG10"/>
  <c r="AH10"/>
  <c r="AI10"/>
  <c r="AJ10"/>
  <c r="AK10"/>
  <c r="AL10"/>
  <c r="AM10"/>
  <c r="AN10"/>
  <c r="AO10"/>
  <c r="AE11"/>
  <c r="AF11"/>
  <c r="AG11"/>
  <c r="AH11"/>
  <c r="AI11"/>
  <c r="AJ11"/>
  <c r="AK11"/>
  <c r="AL11"/>
  <c r="AM11"/>
  <c r="AN11"/>
  <c r="AO11"/>
  <c r="AD4"/>
  <c r="AD5"/>
  <c r="AD6"/>
  <c r="AD7"/>
  <c r="AD8"/>
  <c r="AD9"/>
  <c r="AD10"/>
  <c r="AD11"/>
  <c r="AD3"/>
  <c r="AE15"/>
  <c r="AF15"/>
  <c r="AG15"/>
  <c r="AH15"/>
  <c r="AI15"/>
  <c r="AJ15"/>
  <c r="AK15"/>
  <c r="AL15"/>
  <c r="AM15"/>
  <c r="AN15"/>
  <c r="AO15"/>
  <c r="AE16"/>
  <c r="AF16"/>
  <c r="AG16"/>
  <c r="AH16"/>
  <c r="AI16"/>
  <c r="AJ16"/>
  <c r="AK16"/>
  <c r="AL16"/>
  <c r="AM16"/>
  <c r="AN16"/>
  <c r="AO16"/>
  <c r="AE17"/>
  <c r="AF17"/>
  <c r="AG17"/>
  <c r="AH17"/>
  <c r="AI17"/>
  <c r="AJ17"/>
  <c r="AK17"/>
  <c r="AL17"/>
  <c r="AM17"/>
  <c r="AN17"/>
  <c r="AO17"/>
  <c r="AE18"/>
  <c r="AF18"/>
  <c r="AG18"/>
  <c r="AH18"/>
  <c r="AI18"/>
  <c r="AJ18"/>
  <c r="AK18"/>
  <c r="AL18"/>
  <c r="AM18"/>
  <c r="AN18"/>
  <c r="AO18"/>
  <c r="AE19"/>
  <c r="AF19"/>
  <c r="AG19"/>
  <c r="AH19"/>
  <c r="AI19"/>
  <c r="AJ19"/>
  <c r="AK19"/>
  <c r="AL19"/>
  <c r="AM19"/>
  <c r="AN19"/>
  <c r="AO19"/>
  <c r="AE20"/>
  <c r="AF20"/>
  <c r="AG20"/>
  <c r="AH20"/>
  <c r="AI20"/>
  <c r="AJ20"/>
  <c r="AK20"/>
  <c r="AL20"/>
  <c r="AM20"/>
  <c r="AN20"/>
  <c r="AO20"/>
  <c r="AF21"/>
  <c r="AG21"/>
  <c r="AH21"/>
  <c r="AI21"/>
  <c r="AJ21"/>
  <c r="AK21"/>
  <c r="AL21"/>
  <c r="AM21"/>
  <c r="AN21"/>
  <c r="AO21"/>
  <c r="AE22"/>
  <c r="AF22"/>
  <c r="AG22"/>
  <c r="AH22"/>
  <c r="AI22"/>
  <c r="AJ22"/>
  <c r="AK22"/>
  <c r="AL22"/>
  <c r="AM22"/>
  <c r="AN22"/>
  <c r="AO22"/>
  <c r="AE23"/>
  <c r="AF23"/>
  <c r="AG23"/>
  <c r="AH23"/>
  <c r="AI23"/>
  <c r="AJ23"/>
  <c r="AK23"/>
  <c r="AL23"/>
  <c r="AM23"/>
  <c r="AN23"/>
  <c r="AO23"/>
  <c r="AD15"/>
  <c r="AD16"/>
  <c r="AD17"/>
  <c r="AD18"/>
  <c r="AD19"/>
  <c r="AD20"/>
  <c r="AD21"/>
  <c r="AD22"/>
  <c r="AD23"/>
  <c r="AD24"/>
  <c r="AE24"/>
  <c r="AF24"/>
  <c r="AG24"/>
  <c r="AH24"/>
  <c r="AI24"/>
  <c r="AJ24"/>
  <c r="AK24"/>
  <c r="AL24"/>
  <c r="AM24"/>
  <c r="AN24"/>
  <c r="AO24"/>
  <c r="AC15"/>
  <c r="AC16"/>
  <c r="AC17"/>
  <c r="AC18"/>
  <c r="AC19"/>
  <c r="AC20"/>
  <c r="AC21"/>
  <c r="AC22"/>
  <c r="AC23"/>
  <c r="AD12"/>
  <c r="AE12"/>
  <c r="AF12"/>
  <c r="AG12"/>
  <c r="AH12"/>
  <c r="AI12"/>
  <c r="AJ12"/>
  <c r="AK12"/>
  <c r="AL12"/>
  <c r="AM12"/>
  <c r="AN12"/>
  <c r="AO12"/>
  <c r="AC4"/>
  <c r="AC5"/>
  <c r="AC6"/>
  <c r="AC7"/>
  <c r="AC8"/>
  <c r="AC9"/>
  <c r="AC10"/>
  <c r="AC11"/>
  <c r="AC3"/>
  <c r="AA61"/>
  <c r="Z61"/>
  <c r="Y61"/>
  <c r="X61"/>
  <c r="W61"/>
  <c r="V61"/>
  <c r="U61"/>
  <c r="T61"/>
  <c r="S61"/>
  <c r="R61"/>
  <c r="Q61"/>
  <c r="P61"/>
  <c r="AA60"/>
  <c r="Z60"/>
  <c r="Y60"/>
  <c r="X60"/>
  <c r="W60"/>
  <c r="V60"/>
  <c r="U60"/>
  <c r="T60"/>
  <c r="S60"/>
  <c r="R60"/>
  <c r="Q60"/>
  <c r="P60"/>
  <c r="O60"/>
  <c r="AA59"/>
  <c r="Z59"/>
  <c r="Y59"/>
  <c r="X59"/>
  <c r="W59"/>
  <c r="V59"/>
  <c r="U59"/>
  <c r="T59"/>
  <c r="S59"/>
  <c r="R59"/>
  <c r="Q59"/>
  <c r="P59"/>
  <c r="O59"/>
  <c r="AA58"/>
  <c r="Z58"/>
  <c r="Y58"/>
  <c r="X58"/>
  <c r="W58"/>
  <c r="V58"/>
  <c r="U58"/>
  <c r="T58"/>
  <c r="S58"/>
  <c r="R58"/>
  <c r="Q58"/>
  <c r="P58"/>
  <c r="O58"/>
  <c r="AA57"/>
  <c r="Z57"/>
  <c r="Y57"/>
  <c r="X57"/>
  <c r="W57"/>
  <c r="V57"/>
  <c r="U57"/>
  <c r="T57"/>
  <c r="S57"/>
  <c r="R57"/>
  <c r="Q57"/>
  <c r="P57"/>
  <c r="O57"/>
  <c r="AA56"/>
  <c r="Z56"/>
  <c r="Y56"/>
  <c r="X56"/>
  <c r="W56"/>
  <c r="V56"/>
  <c r="U56"/>
  <c r="T56"/>
  <c r="S56"/>
  <c r="R56"/>
  <c r="Q56"/>
  <c r="P56"/>
  <c r="O56"/>
  <c r="AA55"/>
  <c r="Z55"/>
  <c r="Y55"/>
  <c r="X55"/>
  <c r="W55"/>
  <c r="V55"/>
  <c r="U55"/>
  <c r="T55"/>
  <c r="S55"/>
  <c r="R55"/>
  <c r="Q55"/>
  <c r="P55"/>
  <c r="O55"/>
  <c r="AA54"/>
  <c r="Z54"/>
  <c r="Y54"/>
  <c r="X54"/>
  <c r="W54"/>
  <c r="V54"/>
  <c r="U54"/>
  <c r="T54"/>
  <c r="S54"/>
  <c r="R54"/>
  <c r="Q54"/>
  <c r="P54"/>
  <c r="O54"/>
  <c r="AA53"/>
  <c r="Z53"/>
  <c r="Y53"/>
  <c r="X53"/>
  <c r="W53"/>
  <c r="V53"/>
  <c r="U53"/>
  <c r="T53"/>
  <c r="S53"/>
  <c r="R53"/>
  <c r="Q53"/>
  <c r="P53"/>
  <c r="O53"/>
  <c r="AA52"/>
  <c r="Z52"/>
  <c r="Y52"/>
  <c r="X52"/>
  <c r="W52"/>
  <c r="V52"/>
  <c r="U52"/>
  <c r="T52"/>
  <c r="S52"/>
  <c r="R52"/>
  <c r="Q52"/>
  <c r="P52"/>
  <c r="O52"/>
  <c r="AA49"/>
  <c r="Z49"/>
  <c r="Y49"/>
  <c r="X49"/>
  <c r="W49"/>
  <c r="V49"/>
  <c r="U49"/>
  <c r="T49"/>
  <c r="S49"/>
  <c r="R49"/>
  <c r="Q49"/>
  <c r="P49"/>
  <c r="AA48"/>
  <c r="Z48"/>
  <c r="Y48"/>
  <c r="X48"/>
  <c r="W48"/>
  <c r="V48"/>
  <c r="U48"/>
  <c r="T48"/>
  <c r="S48"/>
  <c r="R48"/>
  <c r="Q48"/>
  <c r="P48"/>
  <c r="O48"/>
  <c r="AA47"/>
  <c r="Z47"/>
  <c r="Y47"/>
  <c r="X47"/>
  <c r="W47"/>
  <c r="V47"/>
  <c r="U47"/>
  <c r="T47"/>
  <c r="S47"/>
  <c r="R47"/>
  <c r="Q47"/>
  <c r="P47"/>
  <c r="O47"/>
  <c r="AA46"/>
  <c r="Z46"/>
  <c r="Y46"/>
  <c r="X46"/>
  <c r="W46"/>
  <c r="V46"/>
  <c r="U46"/>
  <c r="T46"/>
  <c r="S46"/>
  <c r="R46"/>
  <c r="Q46"/>
  <c r="P46"/>
  <c r="O46"/>
  <c r="AA45"/>
  <c r="Z45"/>
  <c r="Y45"/>
  <c r="X45"/>
  <c r="W45"/>
  <c r="V45"/>
  <c r="U45"/>
  <c r="T45"/>
  <c r="S45"/>
  <c r="R45"/>
  <c r="Q45"/>
  <c r="P45"/>
  <c r="O45"/>
  <c r="AA44"/>
  <c r="Z44"/>
  <c r="Y44"/>
  <c r="X44"/>
  <c r="W44"/>
  <c r="V44"/>
  <c r="U44"/>
  <c r="T44"/>
  <c r="S44"/>
  <c r="R44"/>
  <c r="Q44"/>
  <c r="P44"/>
  <c r="O44"/>
  <c r="AA43"/>
  <c r="Z43"/>
  <c r="Y43"/>
  <c r="X43"/>
  <c r="W43"/>
  <c r="V43"/>
  <c r="U43"/>
  <c r="T43"/>
  <c r="S43"/>
  <c r="R43"/>
  <c r="Q43"/>
  <c r="P43"/>
  <c r="O43"/>
  <c r="AA42"/>
  <c r="Z42"/>
  <c r="Y42"/>
  <c r="X42"/>
  <c r="W42"/>
  <c r="V42"/>
  <c r="U42"/>
  <c r="T42"/>
  <c r="S42"/>
  <c r="R42"/>
  <c r="Q42"/>
  <c r="P42"/>
  <c r="O42"/>
  <c r="AA41"/>
  <c r="Z41"/>
  <c r="Y41"/>
  <c r="X41"/>
  <c r="W41"/>
  <c r="V41"/>
  <c r="U41"/>
  <c r="T41"/>
  <c r="S41"/>
  <c r="R41"/>
  <c r="Q41"/>
  <c r="P41"/>
  <c r="O41"/>
  <c r="AA40"/>
  <c r="Z40"/>
  <c r="Y40"/>
  <c r="X40"/>
  <c r="W40"/>
  <c r="V40"/>
  <c r="U40"/>
  <c r="T40"/>
  <c r="S40"/>
  <c r="R40"/>
  <c r="Q40"/>
  <c r="P40"/>
  <c r="O40"/>
  <c r="O3"/>
  <c r="O4"/>
  <c r="O5"/>
  <c r="O6"/>
  <c r="O7"/>
  <c r="O8"/>
  <c r="O9"/>
  <c r="O10"/>
  <c r="O11"/>
  <c r="O15"/>
  <c r="O16"/>
  <c r="O17"/>
  <c r="O18"/>
  <c r="O19"/>
  <c r="O20"/>
  <c r="O21"/>
  <c r="O22"/>
  <c r="O23"/>
  <c r="P24"/>
  <c r="Q24"/>
  <c r="R24"/>
  <c r="S24"/>
  <c r="T24"/>
  <c r="U24"/>
  <c r="V24"/>
  <c r="W24"/>
  <c r="X24"/>
  <c r="Y24"/>
  <c r="Z24"/>
  <c r="AA24"/>
  <c r="P12"/>
  <c r="Q12"/>
  <c r="R12"/>
  <c r="S12"/>
  <c r="T12"/>
  <c r="U12"/>
  <c r="V12"/>
  <c r="W12"/>
  <c r="X12"/>
  <c r="Y12"/>
  <c r="Z12"/>
  <c r="AA12"/>
  <c r="P15"/>
  <c r="Q15"/>
  <c r="R15"/>
  <c r="S15"/>
  <c r="T15"/>
  <c r="U15"/>
  <c r="V15"/>
  <c r="W15"/>
  <c r="X15"/>
  <c r="Y15"/>
  <c r="Z15"/>
  <c r="AA15"/>
  <c r="P16"/>
  <c r="Q16"/>
  <c r="R16"/>
  <c r="S16"/>
  <c r="T16"/>
  <c r="U16"/>
  <c r="V16"/>
  <c r="W16"/>
  <c r="X16"/>
  <c r="Y16"/>
  <c r="Z16"/>
  <c r="AA16"/>
  <c r="P17"/>
  <c r="Q17"/>
  <c r="R17"/>
  <c r="S17"/>
  <c r="T17"/>
  <c r="U17"/>
  <c r="V17"/>
  <c r="W17"/>
  <c r="X17"/>
  <c r="Y17"/>
  <c r="Z17"/>
  <c r="AA17"/>
  <c r="P18"/>
  <c r="Q18"/>
  <c r="R18"/>
  <c r="S18"/>
  <c r="T18"/>
  <c r="U18"/>
  <c r="V18"/>
  <c r="W18"/>
  <c r="X18"/>
  <c r="Y18"/>
  <c r="Z18"/>
  <c r="AA18"/>
  <c r="P19"/>
  <c r="Q19"/>
  <c r="R19"/>
  <c r="S19"/>
  <c r="T19"/>
  <c r="U19"/>
  <c r="V19"/>
  <c r="W19"/>
  <c r="X19"/>
  <c r="Y19"/>
  <c r="Z19"/>
  <c r="AA19"/>
  <c r="P20"/>
  <c r="Q20"/>
  <c r="R20"/>
  <c r="S20"/>
  <c r="T20"/>
  <c r="U20"/>
  <c r="V20"/>
  <c r="W20"/>
  <c r="X20"/>
  <c r="Y20"/>
  <c r="Z20"/>
  <c r="AA20"/>
  <c r="P21"/>
  <c r="Q21"/>
  <c r="R21"/>
  <c r="S21"/>
  <c r="T21"/>
  <c r="U21"/>
  <c r="V21"/>
  <c r="W21"/>
  <c r="X21"/>
  <c r="Y21"/>
  <c r="Z21"/>
  <c r="AA21"/>
  <c r="P22"/>
  <c r="Q22"/>
  <c r="R22"/>
  <c r="S22"/>
  <c r="T22"/>
  <c r="U22"/>
  <c r="V22"/>
  <c r="W22"/>
  <c r="X22"/>
  <c r="Y22"/>
  <c r="Z22"/>
  <c r="AA22"/>
  <c r="P23"/>
  <c r="Q23"/>
  <c r="R23"/>
  <c r="S23"/>
  <c r="T23"/>
  <c r="U23"/>
  <c r="V23"/>
  <c r="W23"/>
  <c r="X23"/>
  <c r="Y23"/>
  <c r="Z23"/>
  <c r="AA23"/>
  <c r="AA3"/>
  <c r="AA4"/>
  <c r="AA5"/>
  <c r="AA6"/>
  <c r="AA7"/>
  <c r="AA8"/>
  <c r="AA9"/>
  <c r="AA10"/>
  <c r="AA11"/>
  <c r="Q3"/>
  <c r="R3"/>
  <c r="S3"/>
  <c r="T3"/>
  <c r="U3"/>
  <c r="V3"/>
  <c r="W3"/>
  <c r="X3"/>
  <c r="Y3"/>
  <c r="Z3"/>
  <c r="Q4"/>
  <c r="R4"/>
  <c r="S4"/>
  <c r="T4"/>
  <c r="U4"/>
  <c r="V4"/>
  <c r="W4"/>
  <c r="X4"/>
  <c r="Y4"/>
  <c r="Z4"/>
  <c r="Q5"/>
  <c r="R5"/>
  <c r="S5"/>
  <c r="T5"/>
  <c r="U5"/>
  <c r="V5"/>
  <c r="W5"/>
  <c r="X5"/>
  <c r="Y5"/>
  <c r="Z5"/>
  <c r="Q6"/>
  <c r="R6"/>
  <c r="S6"/>
  <c r="T6"/>
  <c r="U6"/>
  <c r="V6"/>
  <c r="W6"/>
  <c r="X6"/>
  <c r="Y6"/>
  <c r="Z6"/>
  <c r="Q7"/>
  <c r="R7"/>
  <c r="S7"/>
  <c r="T7"/>
  <c r="U7"/>
  <c r="V7"/>
  <c r="W7"/>
  <c r="X7"/>
  <c r="Y7"/>
  <c r="Z7"/>
  <c r="Q8"/>
  <c r="R8"/>
  <c r="S8"/>
  <c r="T8"/>
  <c r="U8"/>
  <c r="V8"/>
  <c r="W8"/>
  <c r="X8"/>
  <c r="Y8"/>
  <c r="Z8"/>
  <c r="Q9"/>
  <c r="R9"/>
  <c r="S9"/>
  <c r="T9"/>
  <c r="U9"/>
  <c r="V9"/>
  <c r="W9"/>
  <c r="X9"/>
  <c r="Y9"/>
  <c r="Z9"/>
  <c r="Q10"/>
  <c r="R10"/>
  <c r="S10"/>
  <c r="T10"/>
  <c r="U10"/>
  <c r="V10"/>
  <c r="W10"/>
  <c r="X10"/>
  <c r="Y10"/>
  <c r="Z10"/>
  <c r="Q11"/>
  <c r="R11"/>
  <c r="S11"/>
  <c r="T11"/>
  <c r="U11"/>
  <c r="V11"/>
  <c r="W11"/>
  <c r="X11"/>
  <c r="Y11"/>
  <c r="Z11"/>
  <c r="P4"/>
  <c r="P5"/>
  <c r="P6"/>
  <c r="P7"/>
  <c r="P8"/>
  <c r="P9"/>
  <c r="P10"/>
  <c r="P11"/>
  <c r="P3"/>
  <c r="AE21" l="1"/>
  <c r="AE9" s="1"/>
  <c r="P64"/>
  <c r="B64" s="1"/>
  <c r="Q64"/>
  <c r="C64" s="1"/>
  <c r="R64"/>
  <c r="D64" s="1"/>
  <c r="S64"/>
  <c r="E64" s="1"/>
  <c r="T64"/>
  <c r="F64" s="1"/>
  <c r="U64"/>
  <c r="G64" s="1"/>
  <c r="V64"/>
  <c r="H64" s="1"/>
  <c r="W64"/>
  <c r="I64" s="1"/>
  <c r="X64"/>
  <c r="J64" s="1"/>
  <c r="Y64"/>
  <c r="K64" s="1"/>
  <c r="Z64"/>
  <c r="L64" s="1"/>
  <c r="AA64"/>
  <c r="M64" s="1"/>
  <c r="P65"/>
  <c r="B65" s="1"/>
  <c r="Q65"/>
  <c r="C65" s="1"/>
  <c r="R65"/>
  <c r="D65" s="1"/>
  <c r="S65"/>
  <c r="E65" s="1"/>
  <c r="T65"/>
  <c r="F65" s="1"/>
  <c r="U65"/>
  <c r="G65" s="1"/>
  <c r="V65"/>
  <c r="H65" s="1"/>
  <c r="W65"/>
  <c r="I65" s="1"/>
  <c r="X65"/>
  <c r="J65" s="1"/>
  <c r="Y65"/>
  <c r="K65" s="1"/>
  <c r="Z65"/>
  <c r="L65" s="1"/>
  <c r="AA65"/>
  <c r="M65" s="1"/>
  <c r="P66"/>
  <c r="B66" s="1"/>
  <c r="Q66"/>
  <c r="C66" s="1"/>
  <c r="R66"/>
  <c r="D66" s="1"/>
  <c r="S66"/>
  <c r="E66" s="1"/>
  <c r="T66"/>
  <c r="F66" s="1"/>
  <c r="U66"/>
  <c r="G66" s="1"/>
  <c r="V66"/>
  <c r="H66" s="1"/>
  <c r="W66"/>
  <c r="I66" s="1"/>
  <c r="X66"/>
  <c r="J66" s="1"/>
  <c r="Y66"/>
  <c r="K66" s="1"/>
  <c r="Z66"/>
  <c r="L66" s="1"/>
  <c r="AA66"/>
  <c r="M66" s="1"/>
  <c r="P67"/>
  <c r="B67" s="1"/>
  <c r="Q67"/>
  <c r="C67" s="1"/>
  <c r="R67"/>
  <c r="D67" s="1"/>
  <c r="S67"/>
  <c r="E67" s="1"/>
  <c r="T67"/>
  <c r="F67" s="1"/>
  <c r="U67"/>
  <c r="G67" s="1"/>
  <c r="V67"/>
  <c r="H67" s="1"/>
  <c r="W67"/>
  <c r="I67" s="1"/>
  <c r="X67"/>
  <c r="J67" s="1"/>
  <c r="Y67"/>
  <c r="K67" s="1"/>
  <c r="Z67"/>
  <c r="L67" s="1"/>
  <c r="AA67"/>
  <c r="M67" s="1"/>
  <c r="P68"/>
  <c r="B68" s="1"/>
  <c r="Q68"/>
  <c r="C68" s="1"/>
  <c r="R68"/>
  <c r="D68" s="1"/>
  <c r="S68"/>
  <c r="E68" s="1"/>
  <c r="T68"/>
  <c r="F68" s="1"/>
  <c r="U68"/>
  <c r="G68" s="1"/>
  <c r="V68"/>
  <c r="H68" s="1"/>
  <c r="W68"/>
  <c r="I68" s="1"/>
  <c r="X68"/>
  <c r="J68" s="1"/>
  <c r="Y68"/>
  <c r="K68" s="1"/>
  <c r="Z68"/>
  <c r="L68" s="1"/>
  <c r="AA68"/>
  <c r="M68" s="1"/>
  <c r="P69"/>
  <c r="B69" s="1"/>
  <c r="Q69"/>
  <c r="C69" s="1"/>
  <c r="R69"/>
  <c r="D69" s="1"/>
  <c r="S69"/>
  <c r="E69" s="1"/>
  <c r="T69"/>
  <c r="F69" s="1"/>
  <c r="U69"/>
  <c r="G69" s="1"/>
  <c r="V69"/>
  <c r="H69" s="1"/>
  <c r="W69"/>
  <c r="I69" s="1"/>
  <c r="X69"/>
  <c r="J69" s="1"/>
  <c r="Y69"/>
  <c r="K69" s="1"/>
  <c r="Z69"/>
  <c r="L69" s="1"/>
  <c r="AA69"/>
  <c r="M69" s="1"/>
  <c r="P70"/>
  <c r="B70" s="1"/>
  <c r="Q70"/>
  <c r="C70" s="1"/>
  <c r="R70"/>
  <c r="D70" s="1"/>
  <c r="S70"/>
  <c r="E70" s="1"/>
  <c r="T70"/>
  <c r="F70" s="1"/>
  <c r="U70"/>
  <c r="G70" s="1"/>
  <c r="V70"/>
  <c r="H70" s="1"/>
  <c r="W70"/>
  <c r="I70" s="1"/>
  <c r="X70"/>
  <c r="J70" s="1"/>
  <c r="Y70"/>
  <c r="K70" s="1"/>
  <c r="Z70"/>
  <c r="L70" s="1"/>
  <c r="AA70"/>
  <c r="M70" s="1"/>
  <c r="P71"/>
  <c r="B71" s="1"/>
  <c r="Q71"/>
  <c r="C71" s="1"/>
  <c r="R71"/>
  <c r="D71" s="1"/>
  <c r="S71"/>
  <c r="E71" s="1"/>
  <c r="T71"/>
  <c r="F71" s="1"/>
  <c r="U71"/>
  <c r="G71" s="1"/>
  <c r="V71"/>
  <c r="H71" s="1"/>
  <c r="W71"/>
  <c r="I71" s="1"/>
  <c r="X71"/>
  <c r="J71" s="1"/>
  <c r="Y71"/>
  <c r="K71" s="1"/>
  <c r="Z71"/>
  <c r="L71" s="1"/>
  <c r="AA71"/>
  <c r="M71" s="1"/>
  <c r="P72"/>
  <c r="B72" s="1"/>
  <c r="Q72"/>
  <c r="C72" s="1"/>
  <c r="R72"/>
  <c r="D72" s="1"/>
  <c r="S72"/>
  <c r="E72" s="1"/>
  <c r="T72"/>
  <c r="F72" s="1"/>
  <c r="U72"/>
  <c r="G72" s="1"/>
  <c r="V72"/>
  <c r="H72" s="1"/>
  <c r="W72"/>
  <c r="I72" s="1"/>
  <c r="X72"/>
  <c r="J72" s="1"/>
  <c r="Y72"/>
  <c r="K72" s="1"/>
  <c r="Z72"/>
  <c r="L72" s="1"/>
  <c r="AA72"/>
  <c r="M72" s="1"/>
  <c r="AA35"/>
  <c r="M35" s="1"/>
  <c r="Z35"/>
  <c r="L35" s="1"/>
  <c r="Y35"/>
  <c r="K35" s="1"/>
  <c r="X35"/>
  <c r="J35" s="1"/>
  <c r="W35"/>
  <c r="I35" s="1"/>
  <c r="V35"/>
  <c r="H35" s="1"/>
  <c r="U35"/>
  <c r="G35" s="1"/>
  <c r="T35"/>
  <c r="F35" s="1"/>
  <c r="S35"/>
  <c r="E35" s="1"/>
  <c r="R35"/>
  <c r="D35" s="1"/>
  <c r="Q35"/>
  <c r="C35" s="1"/>
  <c r="P35"/>
  <c r="B35" s="1"/>
  <c r="AA34"/>
  <c r="M34" s="1"/>
  <c r="Z34"/>
  <c r="L34" s="1"/>
  <c r="Y34"/>
  <c r="K34" s="1"/>
  <c r="X34"/>
  <c r="J34" s="1"/>
  <c r="W34"/>
  <c r="I34" s="1"/>
  <c r="V34"/>
  <c r="H34" s="1"/>
  <c r="U34"/>
  <c r="G34" s="1"/>
  <c r="T34"/>
  <c r="F34" s="1"/>
  <c r="S34"/>
  <c r="E34" s="1"/>
  <c r="R34"/>
  <c r="D34" s="1"/>
  <c r="Q34"/>
  <c r="C34" s="1"/>
  <c r="P34"/>
  <c r="B34" s="1"/>
  <c r="AA33"/>
  <c r="M33" s="1"/>
  <c r="Z33"/>
  <c r="L33" s="1"/>
  <c r="Y33"/>
  <c r="K33" s="1"/>
  <c r="X33"/>
  <c r="J33" s="1"/>
  <c r="W33"/>
  <c r="I33" s="1"/>
  <c r="V33"/>
  <c r="H33" s="1"/>
  <c r="U33"/>
  <c r="G33" s="1"/>
  <c r="T33"/>
  <c r="F33" s="1"/>
  <c r="S33"/>
  <c r="E33" s="1"/>
  <c r="R33"/>
  <c r="D33" s="1"/>
  <c r="Q33"/>
  <c r="C33" s="1"/>
  <c r="P33"/>
  <c r="B33" s="1"/>
  <c r="AA32"/>
  <c r="M32" s="1"/>
  <c r="Z32"/>
  <c r="L32" s="1"/>
  <c r="Y32"/>
  <c r="K32" s="1"/>
  <c r="X32"/>
  <c r="J32" s="1"/>
  <c r="W32"/>
  <c r="I32" s="1"/>
  <c r="V32"/>
  <c r="H32" s="1"/>
  <c r="U32"/>
  <c r="G32" s="1"/>
  <c r="T32"/>
  <c r="F32" s="1"/>
  <c r="S32"/>
  <c r="E32" s="1"/>
  <c r="R32"/>
  <c r="D32" s="1"/>
  <c r="Q32"/>
  <c r="C32" s="1"/>
  <c r="P32"/>
  <c r="B32" s="1"/>
  <c r="AA31"/>
  <c r="M31" s="1"/>
  <c r="Z31"/>
  <c r="L31" s="1"/>
  <c r="Y31"/>
  <c r="K31" s="1"/>
  <c r="X31"/>
  <c r="J31" s="1"/>
  <c r="W31"/>
  <c r="I31" s="1"/>
  <c r="V31"/>
  <c r="H31" s="1"/>
  <c r="U31"/>
  <c r="G31" s="1"/>
  <c r="T31"/>
  <c r="F31" s="1"/>
  <c r="S31"/>
  <c r="E31" s="1"/>
  <c r="R31"/>
  <c r="D31" s="1"/>
  <c r="Q31"/>
  <c r="C31" s="1"/>
  <c r="P31"/>
  <c r="B31" s="1"/>
  <c r="AA30"/>
  <c r="M30" s="1"/>
  <c r="Z30"/>
  <c r="L30" s="1"/>
  <c r="Y30"/>
  <c r="K30" s="1"/>
  <c r="X30"/>
  <c r="J30" s="1"/>
  <c r="W30"/>
  <c r="I30" s="1"/>
  <c r="V30"/>
  <c r="H30" s="1"/>
  <c r="U30"/>
  <c r="G30" s="1"/>
  <c r="T30"/>
  <c r="F30" s="1"/>
  <c r="S30"/>
  <c r="E30" s="1"/>
  <c r="R30"/>
  <c r="D30" s="1"/>
  <c r="Q30"/>
  <c r="C30" s="1"/>
  <c r="P30"/>
  <c r="B30" s="1"/>
  <c r="AA29"/>
  <c r="M29" s="1"/>
  <c r="Z29"/>
  <c r="L29" s="1"/>
  <c r="Y29"/>
  <c r="K29" s="1"/>
  <c r="X29"/>
  <c r="J29" s="1"/>
  <c r="W29"/>
  <c r="I29" s="1"/>
  <c r="V29"/>
  <c r="H29" s="1"/>
  <c r="U29"/>
  <c r="G29" s="1"/>
  <c r="T29"/>
  <c r="F29" s="1"/>
  <c r="S29"/>
  <c r="E29" s="1"/>
  <c r="R29"/>
  <c r="D29" s="1"/>
  <c r="Q29"/>
  <c r="C29" s="1"/>
  <c r="P29"/>
  <c r="B29" s="1"/>
  <c r="AA28"/>
  <c r="M28" s="1"/>
  <c r="Z28"/>
  <c r="L28" s="1"/>
  <c r="Y28"/>
  <c r="K28" s="1"/>
  <c r="X28"/>
  <c r="J28" s="1"/>
  <c r="W28"/>
  <c r="I28" s="1"/>
  <c r="V28"/>
  <c r="H28" s="1"/>
  <c r="U28"/>
  <c r="G28" s="1"/>
  <c r="T28"/>
  <c r="F28" s="1"/>
  <c r="S28"/>
  <c r="E28" s="1"/>
  <c r="R28"/>
  <c r="D28" s="1"/>
  <c r="Q28"/>
  <c r="C28" s="1"/>
  <c r="P28"/>
  <c r="B28" s="1"/>
  <c r="AA27"/>
  <c r="M27" s="1"/>
  <c r="Z27"/>
  <c r="L27" s="1"/>
  <c r="Y27"/>
  <c r="K27" s="1"/>
  <c r="X27"/>
  <c r="J27" s="1"/>
  <c r="W27"/>
  <c r="I27" s="1"/>
  <c r="V27"/>
  <c r="H27" s="1"/>
  <c r="U27"/>
  <c r="G27" s="1"/>
  <c r="T27"/>
  <c r="F27" s="1"/>
  <c r="S27"/>
  <c r="E27" s="1"/>
  <c r="R27"/>
  <c r="D27" s="1"/>
  <c r="Q27"/>
  <c r="C27" s="1"/>
  <c r="P27"/>
  <c r="B27" s="1"/>
</calcChain>
</file>

<file path=xl/sharedStrings.xml><?xml version="1.0" encoding="utf-8"?>
<sst xmlns="http://schemas.openxmlformats.org/spreadsheetml/2006/main" count="514" uniqueCount="148">
  <si>
    <t>Ib</t>
  </si>
  <si>
    <t>Uce</t>
  </si>
  <si>
    <t>Ic</t>
  </si>
  <si>
    <t>Ube</t>
  </si>
  <si>
    <t>1u</t>
  </si>
  <si>
    <t>535m</t>
  </si>
  <si>
    <t>531m</t>
  </si>
  <si>
    <t>492m</t>
  </si>
  <si>
    <t>455m</t>
  </si>
  <si>
    <t>416m</t>
  </si>
  <si>
    <t>10u</t>
  </si>
  <si>
    <t>100u</t>
  </si>
  <si>
    <t>1m</t>
  </si>
  <si>
    <t>10m</t>
  </si>
  <si>
    <t>100m</t>
  </si>
  <si>
    <t>83u</t>
  </si>
  <si>
    <t>16u</t>
  </si>
  <si>
    <t>2,6u</t>
  </si>
  <si>
    <t>0,136u</t>
  </si>
  <si>
    <t>-0,99u</t>
  </si>
  <si>
    <t>595m</t>
  </si>
  <si>
    <t>9,6m</t>
  </si>
  <si>
    <t>654m</t>
  </si>
  <si>
    <t>655m</t>
  </si>
  <si>
    <t>96m</t>
  </si>
  <si>
    <t>713m</t>
  </si>
  <si>
    <t>714m</t>
  </si>
  <si>
    <t>1</t>
  </si>
  <si>
    <t>964m</t>
  </si>
  <si>
    <t>773m</t>
  </si>
  <si>
    <t>774m</t>
  </si>
  <si>
    <t>10</t>
  </si>
  <si>
    <t>9,6</t>
  </si>
  <si>
    <t>100</t>
  </si>
  <si>
    <t>833m</t>
  </si>
  <si>
    <t>834m</t>
  </si>
  <si>
    <t>893m</t>
  </si>
  <si>
    <t>892m</t>
  </si>
  <si>
    <t>96</t>
  </si>
  <si>
    <t>84</t>
  </si>
  <si>
    <t>888m</t>
  </si>
  <si>
    <t>823m</t>
  </si>
  <si>
    <t>8,2</t>
  </si>
  <si>
    <t>830m</t>
  </si>
  <si>
    <t>769m</t>
  </si>
  <si>
    <t>83m</t>
  </si>
  <si>
    <t>709m</t>
  </si>
  <si>
    <t>8,3m</t>
  </si>
  <si>
    <t>650m</t>
  </si>
  <si>
    <t>590m</t>
  </si>
  <si>
    <t>830u</t>
  </si>
  <si>
    <t>166u</t>
  </si>
  <si>
    <t>551m</t>
  </si>
  <si>
    <t>610m</t>
  </si>
  <si>
    <t>16m</t>
  </si>
  <si>
    <t>670m</t>
  </si>
  <si>
    <t>730m</t>
  </si>
  <si>
    <t>168m</t>
  </si>
  <si>
    <t>1,6m</t>
  </si>
  <si>
    <t>1,6</t>
  </si>
  <si>
    <t>789m</t>
  </si>
  <si>
    <t>851m</t>
  </si>
  <si>
    <t>17</t>
  </si>
  <si>
    <t>2,6</t>
  </si>
  <si>
    <t>813m</t>
  </si>
  <si>
    <t>753m</t>
  </si>
  <si>
    <t>260m</t>
  </si>
  <si>
    <t>26m</t>
  </si>
  <si>
    <t>694m</t>
  </si>
  <si>
    <t>634m</t>
  </si>
  <si>
    <t>2,6m</t>
  </si>
  <si>
    <t>574m</t>
  </si>
  <si>
    <t>515m</t>
  </si>
  <si>
    <t>257u</t>
  </si>
  <si>
    <t>26u</t>
  </si>
  <si>
    <t>496m</t>
  </si>
  <si>
    <t>1,7u</t>
  </si>
  <si>
    <t>555m</t>
  </si>
  <si>
    <t>615m</t>
  </si>
  <si>
    <t>163u</t>
  </si>
  <si>
    <t>674m</t>
  </si>
  <si>
    <t>734m</t>
  </si>
  <si>
    <t>167m</t>
  </si>
  <si>
    <t>794m</t>
  </si>
  <si>
    <t>-1</t>
  </si>
  <si>
    <t>-99m</t>
  </si>
  <si>
    <t>-9,9m</t>
  </si>
  <si>
    <t>-1m</t>
  </si>
  <si>
    <t>596m</t>
  </si>
  <si>
    <t>-99u</t>
  </si>
  <si>
    <t>-10u</t>
  </si>
  <si>
    <t>476m</t>
  </si>
  <si>
    <t>19m</t>
  </si>
  <si>
    <t>39m</t>
  </si>
  <si>
    <t>75m</t>
  </si>
  <si>
    <t>114m</t>
  </si>
  <si>
    <t>118m</t>
  </si>
  <si>
    <t>119m</t>
  </si>
  <si>
    <t>0,1p</t>
  </si>
  <si>
    <t>0,4p</t>
  </si>
  <si>
    <t>1,8p</t>
  </si>
  <si>
    <t>8,4p</t>
  </si>
  <si>
    <t>9,8p</t>
  </si>
  <si>
    <t>10p</t>
  </si>
  <si>
    <t>-0,1p</t>
  </si>
  <si>
    <t>-10..0</t>
  </si>
  <si>
    <t>насыщение</t>
  </si>
  <si>
    <t>отсечка</t>
  </si>
  <si>
    <t>мощность</t>
  </si>
  <si>
    <t>прямое включение</t>
  </si>
  <si>
    <t>обратное включение</t>
  </si>
  <si>
    <t>Uec</t>
  </si>
  <si>
    <t>Ie</t>
  </si>
  <si>
    <t>Ubc</t>
  </si>
  <si>
    <t>Ucb</t>
  </si>
  <si>
    <t>436m</t>
  </si>
  <si>
    <t>-10n</t>
  </si>
  <si>
    <t>532n</t>
  </si>
  <si>
    <t>784n</t>
  </si>
  <si>
    <t>954n</t>
  </si>
  <si>
    <t>998n</t>
  </si>
  <si>
    <t>417m</t>
  </si>
  <si>
    <t>9,5u</t>
  </si>
  <si>
    <t>7,8u</t>
  </si>
  <si>
    <t>5,3u</t>
  </si>
  <si>
    <t>-99n</t>
  </si>
  <si>
    <t>-993n</t>
  </si>
  <si>
    <t>536m</t>
  </si>
  <si>
    <t>53u</t>
  </si>
  <si>
    <t>79u</t>
  </si>
  <si>
    <t>96u</t>
  </si>
  <si>
    <t>956u</t>
  </si>
  <si>
    <t>785u</t>
  </si>
  <si>
    <t>533u</t>
  </si>
  <si>
    <t>-9,9u</t>
  </si>
  <si>
    <t>-100u</t>
  </si>
  <si>
    <t>5,4m</t>
  </si>
  <si>
    <t>7,9m</t>
  </si>
  <si>
    <t>99m</t>
  </si>
  <si>
    <t>95m</t>
  </si>
  <si>
    <t>78m</t>
  </si>
  <si>
    <t>53m</t>
  </si>
  <si>
    <t>-986u</t>
  </si>
  <si>
    <t>775m</t>
  </si>
  <si>
    <t>-10m</t>
  </si>
  <si>
    <t>557m</t>
  </si>
  <si>
    <t>821m</t>
  </si>
  <si>
    <t>биболярный npn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</si>
</sst>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0" borderId="0" xfId="0" applyFill="1"/>
    <xf numFmtId="0" fontId="0" fillId="3" borderId="0" xfId="0" applyFill="1"/>
    <xf numFmtId="49" fontId="0" fillId="0" borderId="2" xfId="0" applyNumberFormat="1" applyFill="1" applyBorder="1"/>
    <xf numFmtId="0" fontId="0" fillId="0" borderId="4" xfId="0" applyBorder="1"/>
    <xf numFmtId="0" fontId="0" fillId="0" borderId="5" xfId="0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2" xfId="0" applyNumberFormat="1" applyBorder="1"/>
    <xf numFmtId="49" fontId="0" fillId="0" borderId="5" xfId="0" applyNumberFormat="1" applyFill="1" applyBorder="1"/>
    <xf numFmtId="0" fontId="0" fillId="0" borderId="4" xfId="0" applyFill="1" applyBorder="1"/>
    <xf numFmtId="49" fontId="0" fillId="2" borderId="6" xfId="0" applyNumberFormat="1" applyFill="1" applyBorder="1"/>
    <xf numFmtId="49" fontId="0" fillId="0" borderId="6" xfId="0" applyNumberFormat="1" applyBorder="1"/>
    <xf numFmtId="49" fontId="0" fillId="0" borderId="7" xfId="0" applyNumberFormat="1" applyBorder="1"/>
    <xf numFmtId="49" fontId="0" fillId="2" borderId="0" xfId="0" applyNumberFormat="1" applyFill="1" applyBorder="1"/>
    <xf numFmtId="49" fontId="0" fillId="0" borderId="0" xfId="0" applyNumberFormat="1" applyBorder="1"/>
    <xf numFmtId="49" fontId="0" fillId="0" borderId="8" xfId="0" applyNumberFormat="1" applyBorder="1"/>
    <xf numFmtId="0" fontId="0" fillId="0" borderId="0" xfId="0" applyBorder="1"/>
    <xf numFmtId="49" fontId="0" fillId="3" borderId="0" xfId="0" applyNumberFormat="1" applyFill="1" applyBorder="1"/>
    <xf numFmtId="49" fontId="0" fillId="3" borderId="8" xfId="0" applyNumberFormat="1" applyFill="1" applyBorder="1"/>
    <xf numFmtId="49" fontId="0" fillId="0" borderId="3" xfId="0" applyNumberFormat="1" applyFill="1" applyBorder="1"/>
    <xf numFmtId="49" fontId="0" fillId="0" borderId="4" xfId="0" applyNumberFormat="1" applyFill="1" applyBorder="1"/>
    <xf numFmtId="0" fontId="0" fillId="0" borderId="0" xfId="0" applyNumberFormat="1"/>
    <xf numFmtId="0" fontId="0" fillId="3" borderId="0" xfId="0" applyNumberFormat="1" applyFill="1"/>
    <xf numFmtId="0" fontId="0" fillId="0" borderId="2" xfId="0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1" xfId="0" applyNumberFormat="1" applyBorder="1"/>
    <xf numFmtId="0" fontId="0" fillId="0" borderId="2" xfId="0" applyNumberFormat="1" applyBorder="1"/>
    <xf numFmtId="0" fontId="0" fillId="0" borderId="3" xfId="0" applyNumberFormat="1" applyBorder="1"/>
    <xf numFmtId="0" fontId="0" fillId="5" borderId="0" xfId="0" applyNumberFormat="1" applyFill="1"/>
    <xf numFmtId="0" fontId="0" fillId="0" borderId="5" xfId="0" applyBorder="1"/>
    <xf numFmtId="0" fontId="0" fillId="4" borderId="2" xfId="0" applyFill="1" applyBorder="1"/>
    <xf numFmtId="0" fontId="0" fillId="4" borderId="3" xfId="0" applyFill="1" applyBorder="1"/>
    <xf numFmtId="0" fontId="1" fillId="4" borderId="9" xfId="0" applyFont="1" applyFill="1" applyBorder="1"/>
    <xf numFmtId="0" fontId="1" fillId="4" borderId="0" xfId="0" applyFont="1" applyFill="1"/>
    <xf numFmtId="0" fontId="0" fillId="6" borderId="0" xfId="0" applyNumberFormat="1" applyFill="1"/>
    <xf numFmtId="0" fontId="0" fillId="0" borderId="0" xfId="0" applyNumberFormat="1" applyFill="1"/>
    <xf numFmtId="49" fontId="0" fillId="2" borderId="10" xfId="0" applyNumberFormat="1" applyFill="1" applyBorder="1"/>
    <xf numFmtId="49" fontId="0" fillId="2" borderId="11" xfId="0" applyNumberFormat="1" applyFill="1" applyBorder="1"/>
    <xf numFmtId="0" fontId="0" fillId="0" borderId="11" xfId="0" applyBorder="1"/>
    <xf numFmtId="49" fontId="0" fillId="3" borderId="12" xfId="0" applyNumberFormat="1" applyFill="1" applyBorder="1"/>
    <xf numFmtId="49" fontId="0" fillId="3" borderId="13" xfId="0" applyNumberFormat="1" applyFill="1" applyBorder="1"/>
    <xf numFmtId="49" fontId="0" fillId="3" borderId="14" xfId="0" applyNumberFormat="1" applyFill="1" applyBorder="1"/>
    <xf numFmtId="49" fontId="0" fillId="0" borderId="11" xfId="0" applyNumberFormat="1" applyBorder="1"/>
    <xf numFmtId="49" fontId="0" fillId="6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Z73"/>
  <sheetViews>
    <sheetView tabSelected="1" topLeftCell="A31" workbookViewId="0">
      <selection activeCell="A73" sqref="A73"/>
    </sheetView>
  </sheetViews>
  <sheetFormatPr defaultRowHeight="15"/>
  <cols>
    <col min="13" max="13" width="5.85546875" bestFit="1" customWidth="1"/>
    <col min="14" max="14" width="8" bestFit="1" customWidth="1"/>
    <col min="15" max="15" width="7.42578125" bestFit="1" customWidth="1"/>
  </cols>
  <sheetData>
    <row r="1" spans="1:52" ht="15.75" thickBot="1">
      <c r="A1" s="37" t="s">
        <v>109</v>
      </c>
      <c r="B1" s="37"/>
      <c r="C1" s="37"/>
      <c r="D1" s="37" t="s">
        <v>147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</row>
    <row r="2" spans="1:52" ht="15.75" thickBot="1">
      <c r="A2" s="6" t="s">
        <v>0</v>
      </c>
      <c r="B2" s="2" t="s">
        <v>106</v>
      </c>
      <c r="C2" s="1"/>
      <c r="AB2" s="24"/>
    </row>
    <row r="3" spans="1:52">
      <c r="A3" s="12">
        <v>1</v>
      </c>
      <c r="B3" s="13" t="s">
        <v>84</v>
      </c>
      <c r="C3" s="14" t="s">
        <v>82</v>
      </c>
      <c r="D3" s="14" t="s">
        <v>63</v>
      </c>
      <c r="E3" s="14" t="s">
        <v>62</v>
      </c>
      <c r="F3" s="14" t="s">
        <v>39</v>
      </c>
      <c r="G3" s="14" t="s">
        <v>38</v>
      </c>
      <c r="H3" s="14" t="s">
        <v>33</v>
      </c>
      <c r="I3" s="14" t="s">
        <v>33</v>
      </c>
      <c r="J3" s="14" t="s">
        <v>33</v>
      </c>
      <c r="K3" s="14" t="s">
        <v>33</v>
      </c>
      <c r="L3" s="14" t="s">
        <v>33</v>
      </c>
      <c r="M3" s="15" t="s">
        <v>33</v>
      </c>
      <c r="O3" s="27">
        <f>VALUE(RegExpExtract(A3,"(\d|[,-])+"))*IF(RegExpExtract(A3,".$")="m",10^-3,IF(RegExpExtract(A3,".$")="u",10^-6,IF(RegExpExtract(A3,".$")="n",10^-9,IF(RegExpExtract(A3,".$")="p",10^-12,1))))</f>
        <v>1</v>
      </c>
      <c r="P3" s="24">
        <f>VALUE(RegExpExtract(B3,"(\d|[,-])+"))*IF(RegExpExtract(B3,".$")="m",10^-3,IF(RegExpExtract(B3,".$")="u",10^-6,IF(RegExpExtract(B3,".$")="n",10^-9,IF(RegExpExtract(B3,".$")="p",10^-12,1))))</f>
        <v>-1</v>
      </c>
      <c r="Q3" s="24">
        <f>VALUE(RegExpExtract(C3,"(\d|[,-])+"))*IF(RegExpExtract(C3,".$")="m",10^-3,IF(RegExpExtract(C3,".$")="u",10^-6,IF(RegExpExtract(C3,".$")="n",10^-9,IF(RegExpExtract(C3,".$")="p",10^-12,1))))</f>
        <v>0.16700000000000001</v>
      </c>
      <c r="R3" s="24">
        <f>VALUE(RegExpExtract(D3,"(\d|[,-])+"))*IF(RegExpExtract(D3,".$")="m",10^-3,IF(RegExpExtract(D3,".$")="u",10^-6,IF(RegExpExtract(D3,".$")="n",10^-9,IF(RegExpExtract(D3,".$")="p",10^-12,1))))</f>
        <v>2.6</v>
      </c>
      <c r="S3" s="24">
        <f>VALUE(RegExpExtract(E3,"(\d|[,-])+"))*IF(RegExpExtract(E3,".$")="m",10^-3,IF(RegExpExtract(E3,".$")="u",10^-6,IF(RegExpExtract(E3,".$")="n",10^-9,IF(RegExpExtract(E3,".$")="p",10^-12,1))))</f>
        <v>17</v>
      </c>
      <c r="T3" s="24">
        <f>VALUE(RegExpExtract(F3,"(\d|[,-])+"))*IF(RegExpExtract(F3,".$")="m",10^-3,IF(RegExpExtract(F3,".$")="u",10^-6,IF(RegExpExtract(F3,".$")="n",10^-9,IF(RegExpExtract(F3,".$")="p",10^-12,1))))</f>
        <v>84</v>
      </c>
      <c r="U3" s="24">
        <f>VALUE(RegExpExtract(G3,"(\d|[,-])+"))*IF(RegExpExtract(G3,".$")="m",10^-3,IF(RegExpExtract(G3,".$")="u",10^-6,IF(RegExpExtract(G3,".$")="n",10^-9,IF(RegExpExtract(G3,".$")="p",10^-12,1))))</f>
        <v>96</v>
      </c>
      <c r="V3" s="24">
        <f>VALUE(RegExpExtract(H3,"(\d|[,-])+"))*IF(RegExpExtract(H3,".$")="m",10^-3,IF(RegExpExtract(H3,".$")="u",10^-6,IF(RegExpExtract(H3,".$")="n",10^-9,IF(RegExpExtract(H3,".$")="p",10^-12,1))))</f>
        <v>100</v>
      </c>
      <c r="W3" s="24">
        <f>VALUE(RegExpExtract(I3,"(\d|[,-])+"))*IF(RegExpExtract(I3,".$")="m",10^-3,IF(RegExpExtract(I3,".$")="u",10^-6,IF(RegExpExtract(I3,".$")="n",10^-9,IF(RegExpExtract(I3,".$")="p",10^-12,1))))</f>
        <v>100</v>
      </c>
      <c r="X3" s="24">
        <f>VALUE(RegExpExtract(J3,"(\d|[,-])+"))*IF(RegExpExtract(J3,".$")="m",10^-3,IF(RegExpExtract(J3,".$")="u",10^-6,IF(RegExpExtract(J3,".$")="n",10^-9,IF(RegExpExtract(J3,".$")="p",10^-12,1))))</f>
        <v>100</v>
      </c>
      <c r="Y3" s="24">
        <f>VALUE(RegExpExtract(K3,"(\d|[,-])+"))*IF(RegExpExtract(K3,".$")="m",10^-3,IF(RegExpExtract(K3,".$")="u",10^-6,IF(RegExpExtract(K3,".$")="n",10^-9,IF(RegExpExtract(K3,".$")="p",10^-12,1))))</f>
        <v>100</v>
      </c>
      <c r="Z3" s="24">
        <f>VALUE(RegExpExtract(L3,"(\d|[,-])+"))*IF(RegExpExtract(L3,".$")="m",10^-3,IF(RegExpExtract(L3,".$")="u",10^-6,IF(RegExpExtract(L3,".$")="n",10^-9,IF(RegExpExtract(L3,".$")="p",10^-12,1))))</f>
        <v>100</v>
      </c>
      <c r="AA3" s="24">
        <f>VALUE(RegExpExtract(M3,"(\d|[,-])+"))*IF(RegExpExtract(M3,".$")="m",10^-3,IF(RegExpExtract(M3,".$")="u",10^-6,IF(RegExpExtract(M3,".$")="n",10^-9,IF(RegExpExtract(M3,".$")="p",10^-12,1))))</f>
        <v>100</v>
      </c>
      <c r="AB3" s="24"/>
      <c r="AC3" s="24">
        <f>O3</f>
        <v>1</v>
      </c>
      <c r="AD3" s="32">
        <f>AD12-AD15</f>
        <v>-0.77400000000000002</v>
      </c>
      <c r="AE3" s="32">
        <f t="shared" ref="AE3:AO3" si="0">AE12-AE15</f>
        <v>-0.77400000000000002</v>
      </c>
      <c r="AF3" s="32">
        <f t="shared" si="0"/>
        <v>-0.77300000000000002</v>
      </c>
      <c r="AG3" s="32">
        <f t="shared" si="0"/>
        <v>-0.77100000000000002</v>
      </c>
      <c r="AH3" s="32">
        <f t="shared" si="0"/>
        <v>-0.72799999999999998</v>
      </c>
      <c r="AI3" s="32">
        <f t="shared" si="0"/>
        <v>-0.69199999999999995</v>
      </c>
      <c r="AJ3" s="32">
        <f t="shared" si="0"/>
        <v>-0.59299999999999997</v>
      </c>
      <c r="AK3" s="32">
        <f t="shared" si="0"/>
        <v>-0.49299999999999999</v>
      </c>
      <c r="AL3" s="32">
        <f t="shared" si="0"/>
        <v>-0.39300000000000002</v>
      </c>
      <c r="AM3" s="24">
        <f t="shared" si="0"/>
        <v>0.10699999999999998</v>
      </c>
      <c r="AN3" s="24">
        <f t="shared" si="0"/>
        <v>0.60699999999999998</v>
      </c>
      <c r="AO3" s="24">
        <f t="shared" si="0"/>
        <v>1.107</v>
      </c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</row>
    <row r="4" spans="1:52">
      <c r="A4" s="7" t="s">
        <v>14</v>
      </c>
      <c r="B4" s="16" t="s">
        <v>85</v>
      </c>
      <c r="C4" s="17" t="s">
        <v>54</v>
      </c>
      <c r="D4" s="17" t="s">
        <v>66</v>
      </c>
      <c r="E4" s="17" t="s">
        <v>59</v>
      </c>
      <c r="F4" s="17" t="s">
        <v>42</v>
      </c>
      <c r="G4" s="17" t="s">
        <v>32</v>
      </c>
      <c r="H4" s="17" t="s">
        <v>31</v>
      </c>
      <c r="I4" s="17" t="s">
        <v>31</v>
      </c>
      <c r="J4" s="17" t="s">
        <v>31</v>
      </c>
      <c r="K4" s="17" t="s">
        <v>31</v>
      </c>
      <c r="L4" s="17" t="s">
        <v>31</v>
      </c>
      <c r="M4" s="18" t="s">
        <v>31</v>
      </c>
      <c r="O4" s="28">
        <f>VALUE(RegExpExtract(A4,"(\d|[,-])+"))*IF(RegExpExtract(A4,".$")="m",10^-3,IF(RegExpExtract(A4,".$")="u",10^-6,IF(RegExpExtract(A4,".$")="n",10^-9,IF(RegExpExtract(A4,".$")="p",10^-12,1))))</f>
        <v>0.1</v>
      </c>
      <c r="P4" s="24">
        <f>VALUE(RegExpExtract(B4,"(\d|[,-])+"))*IF(RegExpExtract(B4,".$")="m",10^-3,IF(RegExpExtract(B4,".$")="u",10^-6,IF(RegExpExtract(B4,".$")="n",10^-9,IF(RegExpExtract(B4,".$")="p",10^-12,1))))</f>
        <v>-9.9000000000000005E-2</v>
      </c>
      <c r="Q4" s="24">
        <f>VALUE(RegExpExtract(C4,"(\d|[,-])+"))*IF(RegExpExtract(C4,".$")="m",10^-3,IF(RegExpExtract(C4,".$")="u",10^-6,IF(RegExpExtract(C4,".$")="n",10^-9,IF(RegExpExtract(C4,".$")="p",10^-12,1))))</f>
        <v>1.6E-2</v>
      </c>
      <c r="R4" s="24">
        <f>VALUE(RegExpExtract(D4,"(\d|[,-])+"))*IF(RegExpExtract(D4,".$")="m",10^-3,IF(RegExpExtract(D4,".$")="u",10^-6,IF(RegExpExtract(D4,".$")="n",10^-9,IF(RegExpExtract(D4,".$")="p",10^-12,1))))</f>
        <v>0.26</v>
      </c>
      <c r="S4" s="24">
        <f>VALUE(RegExpExtract(E4,"(\d|[,-])+"))*IF(RegExpExtract(E4,".$")="m",10^-3,IF(RegExpExtract(E4,".$")="u",10^-6,IF(RegExpExtract(E4,".$")="n",10^-9,IF(RegExpExtract(E4,".$")="p",10^-12,1))))</f>
        <v>1.6</v>
      </c>
      <c r="T4" s="24">
        <f>VALUE(RegExpExtract(F4,"(\d|[,-])+"))*IF(RegExpExtract(F4,".$")="m",10^-3,IF(RegExpExtract(F4,".$")="u",10^-6,IF(RegExpExtract(F4,".$")="n",10^-9,IF(RegExpExtract(F4,".$")="p",10^-12,1))))</f>
        <v>8.1999999999999993</v>
      </c>
      <c r="U4" s="24">
        <f>VALUE(RegExpExtract(G4,"(\d|[,-])+"))*IF(RegExpExtract(G4,".$")="m",10^-3,IF(RegExpExtract(G4,".$")="u",10^-6,IF(RegExpExtract(G4,".$")="n",10^-9,IF(RegExpExtract(G4,".$")="p",10^-12,1))))</f>
        <v>9.6</v>
      </c>
      <c r="V4" s="24">
        <f>VALUE(RegExpExtract(H4,"(\d|[,-])+"))*IF(RegExpExtract(H4,".$")="m",10^-3,IF(RegExpExtract(H4,".$")="u",10^-6,IF(RegExpExtract(H4,".$")="n",10^-9,IF(RegExpExtract(H4,".$")="p",10^-12,1))))</f>
        <v>10</v>
      </c>
      <c r="W4" s="24">
        <f>VALUE(RegExpExtract(I4,"(\d|[,-])+"))*IF(RegExpExtract(I4,".$")="m",10^-3,IF(RegExpExtract(I4,".$")="u",10^-6,IF(RegExpExtract(I4,".$")="n",10^-9,IF(RegExpExtract(I4,".$")="p",10^-12,1))))</f>
        <v>10</v>
      </c>
      <c r="X4" s="24">
        <f>VALUE(RegExpExtract(J4,"(\d|[,-])+"))*IF(RegExpExtract(J4,".$")="m",10^-3,IF(RegExpExtract(J4,".$")="u",10^-6,IF(RegExpExtract(J4,".$")="n",10^-9,IF(RegExpExtract(J4,".$")="p",10^-12,1))))</f>
        <v>10</v>
      </c>
      <c r="Y4" s="24">
        <f>VALUE(RegExpExtract(K4,"(\d|[,-])+"))*IF(RegExpExtract(K4,".$")="m",10^-3,IF(RegExpExtract(K4,".$")="u",10^-6,IF(RegExpExtract(K4,".$")="n",10^-9,IF(RegExpExtract(K4,".$")="p",10^-12,1))))</f>
        <v>10</v>
      </c>
      <c r="Z4" s="24">
        <f>VALUE(RegExpExtract(L4,"(\d|[,-])+"))*IF(RegExpExtract(L4,".$")="m",10^-3,IF(RegExpExtract(L4,".$")="u",10^-6,IF(RegExpExtract(L4,".$")="n",10^-9,IF(RegExpExtract(L4,".$")="p",10^-12,1))))</f>
        <v>10</v>
      </c>
      <c r="AA4" s="24">
        <f>VALUE(RegExpExtract(M4,"(\d|[,-])+"))*IF(RegExpExtract(M4,".$")="m",10^-3,IF(RegExpExtract(M4,".$")="u",10^-6,IF(RegExpExtract(M4,".$")="n",10^-9,IF(RegExpExtract(M4,".$")="p",10^-12,1))))</f>
        <v>10</v>
      </c>
      <c r="AB4" s="24"/>
      <c r="AC4" s="24">
        <f t="shared" ref="AC4:AD24" si="1">O4</f>
        <v>0.1</v>
      </c>
      <c r="AD4" s="32">
        <f t="shared" ref="AD4:AO11" si="2">AD13-AD16</f>
        <v>-0.71399999999999997</v>
      </c>
      <c r="AE4" s="32">
        <f t="shared" si="2"/>
        <v>-0.73399999999999999</v>
      </c>
      <c r="AF4" s="32">
        <f t="shared" si="2"/>
        <v>-0.753</v>
      </c>
      <c r="AG4" s="32">
        <f t="shared" si="2"/>
        <v>-0.78900000000000003</v>
      </c>
      <c r="AH4" s="32">
        <f t="shared" si="2"/>
        <v>-0.82300000000000006</v>
      </c>
      <c r="AI4" s="32">
        <f t="shared" si="2"/>
        <v>-0.83299999999999996</v>
      </c>
      <c r="AJ4" s="32">
        <f t="shared" si="2"/>
        <v>-0.83399999999999996</v>
      </c>
      <c r="AK4" s="32">
        <f t="shared" si="2"/>
        <v>-0.83399999999999996</v>
      </c>
      <c r="AL4" s="32">
        <f t="shared" si="2"/>
        <v>-0.83399999999999996</v>
      </c>
      <c r="AM4" s="32">
        <f t="shared" si="2"/>
        <v>-0.83399999999999996</v>
      </c>
      <c r="AN4" s="32">
        <f t="shared" si="2"/>
        <v>-0.83399999999999996</v>
      </c>
      <c r="AO4" s="32">
        <f t="shared" si="2"/>
        <v>-0.83399999999999996</v>
      </c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</row>
    <row r="5" spans="1:52">
      <c r="A5" s="7" t="s">
        <v>13</v>
      </c>
      <c r="B5" s="16" t="s">
        <v>86</v>
      </c>
      <c r="C5" s="17" t="s">
        <v>58</v>
      </c>
      <c r="D5" s="17" t="s">
        <v>67</v>
      </c>
      <c r="E5" s="17" t="s">
        <v>57</v>
      </c>
      <c r="F5" s="17" t="s">
        <v>43</v>
      </c>
      <c r="G5" s="17" t="s">
        <v>28</v>
      </c>
      <c r="H5" s="17" t="s">
        <v>27</v>
      </c>
      <c r="I5" s="17" t="s">
        <v>27</v>
      </c>
      <c r="J5" s="17" t="s">
        <v>27</v>
      </c>
      <c r="K5" s="17" t="s">
        <v>27</v>
      </c>
      <c r="L5" s="17" t="s">
        <v>27</v>
      </c>
      <c r="M5" s="18" t="s">
        <v>27</v>
      </c>
      <c r="O5" s="28">
        <f>VALUE(RegExpExtract(A5,"(\d|[,-])+"))*IF(RegExpExtract(A5,".$")="m",10^-3,IF(RegExpExtract(A5,".$")="u",10^-6,IF(RegExpExtract(A5,".$")="n",10^-9,IF(RegExpExtract(A5,".$")="p",10^-12,1))))</f>
        <v>0.01</v>
      </c>
      <c r="P5" s="24">
        <f>VALUE(RegExpExtract(B5,"(\d|[,-])+"))*IF(RegExpExtract(B5,".$")="m",10^-3,IF(RegExpExtract(B5,".$")="u",10^-6,IF(RegExpExtract(B5,".$")="n",10^-9,IF(RegExpExtract(B5,".$")="p",10^-12,1))))</f>
        <v>-9.9000000000000008E-3</v>
      </c>
      <c r="Q5" s="24">
        <f>VALUE(RegExpExtract(C5,"(\d|[,-])+"))*IF(RegExpExtract(C5,".$")="m",10^-3,IF(RegExpExtract(C5,".$")="u",10^-6,IF(RegExpExtract(C5,".$")="n",10^-9,IF(RegExpExtract(C5,".$")="p",10^-12,1))))</f>
        <v>1.6000000000000001E-3</v>
      </c>
      <c r="R5" s="24">
        <f>VALUE(RegExpExtract(D5,"(\d|[,-])+"))*IF(RegExpExtract(D5,".$")="m",10^-3,IF(RegExpExtract(D5,".$")="u",10^-6,IF(RegExpExtract(D5,".$")="n",10^-9,IF(RegExpExtract(D5,".$")="p",10^-12,1))))</f>
        <v>2.6000000000000002E-2</v>
      </c>
      <c r="S5" s="24">
        <f>VALUE(RegExpExtract(E5,"(\d|[,-])+"))*IF(RegExpExtract(E5,".$")="m",10^-3,IF(RegExpExtract(E5,".$")="u",10^-6,IF(RegExpExtract(E5,".$")="n",10^-9,IF(RegExpExtract(E5,".$")="p",10^-12,1))))</f>
        <v>0.16800000000000001</v>
      </c>
      <c r="T5" s="24">
        <f>VALUE(RegExpExtract(F5,"(\d|[,-])+"))*IF(RegExpExtract(F5,".$")="m",10^-3,IF(RegExpExtract(F5,".$")="u",10^-6,IF(RegExpExtract(F5,".$")="n",10^-9,IF(RegExpExtract(F5,".$")="p",10^-12,1))))</f>
        <v>0.83000000000000007</v>
      </c>
      <c r="U5" s="24">
        <f>VALUE(RegExpExtract(G5,"(\d|[,-])+"))*IF(RegExpExtract(G5,".$")="m",10^-3,IF(RegExpExtract(G5,".$")="u",10^-6,IF(RegExpExtract(G5,".$")="n",10^-9,IF(RegExpExtract(G5,".$")="p",10^-12,1))))</f>
        <v>0.96399999999999997</v>
      </c>
      <c r="V5" s="24">
        <f>VALUE(RegExpExtract(H5,"(\d|[,-])+"))*IF(RegExpExtract(H5,".$")="m",10^-3,IF(RegExpExtract(H5,".$")="u",10^-6,IF(RegExpExtract(H5,".$")="n",10^-9,IF(RegExpExtract(H5,".$")="p",10^-12,1))))</f>
        <v>1</v>
      </c>
      <c r="W5" s="24">
        <f>VALUE(RegExpExtract(I5,"(\d|[,-])+"))*IF(RegExpExtract(I5,".$")="m",10^-3,IF(RegExpExtract(I5,".$")="u",10^-6,IF(RegExpExtract(I5,".$")="n",10^-9,IF(RegExpExtract(I5,".$")="p",10^-12,1))))</f>
        <v>1</v>
      </c>
      <c r="X5" s="24">
        <f>VALUE(RegExpExtract(J5,"(\d|[,-])+"))*IF(RegExpExtract(J5,".$")="m",10^-3,IF(RegExpExtract(J5,".$")="u",10^-6,IF(RegExpExtract(J5,".$")="n",10^-9,IF(RegExpExtract(J5,".$")="p",10^-12,1))))</f>
        <v>1</v>
      </c>
      <c r="Y5" s="24">
        <f>VALUE(RegExpExtract(K5,"(\d|[,-])+"))*IF(RegExpExtract(K5,".$")="m",10^-3,IF(RegExpExtract(K5,".$")="u",10^-6,IF(RegExpExtract(K5,".$")="n",10^-9,IF(RegExpExtract(K5,".$")="p",10^-12,1))))</f>
        <v>1</v>
      </c>
      <c r="Z5" s="24">
        <f>VALUE(RegExpExtract(L5,"(\d|[,-])+"))*IF(RegExpExtract(L5,".$")="m",10^-3,IF(RegExpExtract(L5,".$")="u",10^-6,IF(RegExpExtract(L5,".$")="n",10^-9,IF(RegExpExtract(L5,".$")="p",10^-12,1))))</f>
        <v>1</v>
      </c>
      <c r="AA5" s="24">
        <f>VALUE(RegExpExtract(M5,"(\d|[,-])+"))*IF(RegExpExtract(M5,".$")="m",10^-3,IF(RegExpExtract(M5,".$")="u",10^-6,IF(RegExpExtract(M5,".$")="n",10^-9,IF(RegExpExtract(M5,".$")="p",10^-12,1))))</f>
        <v>1</v>
      </c>
      <c r="AB5" s="24"/>
      <c r="AC5" s="24">
        <f t="shared" si="1"/>
        <v>0.01</v>
      </c>
      <c r="AD5" s="32">
        <f t="shared" si="2"/>
        <v>-0.65400000000000003</v>
      </c>
      <c r="AE5" s="32">
        <f t="shared" si="2"/>
        <v>-0.67400000000000004</v>
      </c>
      <c r="AF5" s="32">
        <f t="shared" si="2"/>
        <v>-0.69400000000000006</v>
      </c>
      <c r="AG5" s="32">
        <f t="shared" si="2"/>
        <v>-0.73</v>
      </c>
      <c r="AH5" s="32">
        <f t="shared" si="2"/>
        <v>-0.76900000000000002</v>
      </c>
      <c r="AI5" s="32">
        <f t="shared" si="2"/>
        <v>-0.77300000000000002</v>
      </c>
      <c r="AJ5" s="32">
        <f t="shared" si="2"/>
        <v>-0.77400000000000002</v>
      </c>
      <c r="AK5" s="32">
        <f t="shared" si="2"/>
        <v>-0.77400000000000002</v>
      </c>
      <c r="AL5" s="32">
        <f t="shared" si="2"/>
        <v>-0.77400000000000002</v>
      </c>
      <c r="AM5" s="32">
        <f t="shared" si="2"/>
        <v>-0.77400000000000002</v>
      </c>
      <c r="AN5" s="32">
        <f t="shared" si="2"/>
        <v>-0.77400000000000002</v>
      </c>
      <c r="AO5" s="32">
        <f t="shared" si="2"/>
        <v>-0.77400000000000002</v>
      </c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</row>
    <row r="6" spans="1:52">
      <c r="A6" s="7" t="s">
        <v>12</v>
      </c>
      <c r="B6" s="16" t="s">
        <v>87</v>
      </c>
      <c r="C6" s="17" t="s">
        <v>79</v>
      </c>
      <c r="D6" s="17" t="s">
        <v>70</v>
      </c>
      <c r="E6" s="17" t="s">
        <v>54</v>
      </c>
      <c r="F6" s="17" t="s">
        <v>45</v>
      </c>
      <c r="G6" s="17" t="s">
        <v>24</v>
      </c>
      <c r="H6" s="17" t="s">
        <v>14</v>
      </c>
      <c r="I6" s="17" t="s">
        <v>14</v>
      </c>
      <c r="J6" s="17" t="s">
        <v>14</v>
      </c>
      <c r="K6" s="17" t="s">
        <v>14</v>
      </c>
      <c r="L6" s="17" t="s">
        <v>14</v>
      </c>
      <c r="M6" s="18" t="s">
        <v>14</v>
      </c>
      <c r="O6" s="28">
        <f>VALUE(RegExpExtract(A6,"(\d|[,-])+"))*IF(RegExpExtract(A6,".$")="m",10^-3,IF(RegExpExtract(A6,".$")="u",10^-6,IF(RegExpExtract(A6,".$")="n",10^-9,IF(RegExpExtract(A6,".$")="p",10^-12,1))))</f>
        <v>1E-3</v>
      </c>
      <c r="P6" s="24">
        <f>VALUE(RegExpExtract(B6,"(\d|[,-])+"))*IF(RegExpExtract(B6,".$")="m",10^-3,IF(RegExpExtract(B6,".$")="u",10^-6,IF(RegExpExtract(B6,".$")="n",10^-9,IF(RegExpExtract(B6,".$")="p",10^-12,1))))</f>
        <v>-1E-3</v>
      </c>
      <c r="Q6" s="24">
        <f>VALUE(RegExpExtract(C6,"(\d|[,-])+"))*IF(RegExpExtract(C6,".$")="m",10^-3,IF(RegExpExtract(C6,".$")="u",10^-6,IF(RegExpExtract(C6,".$")="n",10^-9,IF(RegExpExtract(C6,".$")="p",10^-12,1))))</f>
        <v>1.63E-4</v>
      </c>
      <c r="R6" s="24">
        <f>VALUE(RegExpExtract(D6,"(\d|[,-])+"))*IF(RegExpExtract(D6,".$")="m",10^-3,IF(RegExpExtract(D6,".$")="u",10^-6,IF(RegExpExtract(D6,".$")="n",10^-9,IF(RegExpExtract(D6,".$")="p",10^-12,1))))</f>
        <v>2.6000000000000003E-3</v>
      </c>
      <c r="S6" s="24">
        <f>VALUE(RegExpExtract(E6,"(\d|[,-])+"))*IF(RegExpExtract(E6,".$")="m",10^-3,IF(RegExpExtract(E6,".$")="u",10^-6,IF(RegExpExtract(E6,".$")="n",10^-9,IF(RegExpExtract(E6,".$")="p",10^-12,1))))</f>
        <v>1.6E-2</v>
      </c>
      <c r="T6" s="24">
        <f>VALUE(RegExpExtract(F6,"(\d|[,-])+"))*IF(RegExpExtract(F6,".$")="m",10^-3,IF(RegExpExtract(F6,".$")="u",10^-6,IF(RegExpExtract(F6,".$")="n",10^-9,IF(RegExpExtract(F6,".$")="p",10^-12,1))))</f>
        <v>8.3000000000000004E-2</v>
      </c>
      <c r="U6" s="24">
        <f>VALUE(RegExpExtract(G6,"(\d|[,-])+"))*IF(RegExpExtract(G6,".$")="m",10^-3,IF(RegExpExtract(G6,".$")="u",10^-6,IF(RegExpExtract(G6,".$")="n",10^-9,IF(RegExpExtract(G6,".$")="p",10^-12,1))))</f>
        <v>9.6000000000000002E-2</v>
      </c>
      <c r="V6" s="24">
        <f>VALUE(RegExpExtract(H6,"(\d|[,-])+"))*IF(RegExpExtract(H6,".$")="m",10^-3,IF(RegExpExtract(H6,".$")="u",10^-6,IF(RegExpExtract(H6,".$")="n",10^-9,IF(RegExpExtract(H6,".$")="p",10^-12,1))))</f>
        <v>0.1</v>
      </c>
      <c r="W6" s="24">
        <f>VALUE(RegExpExtract(I6,"(\d|[,-])+"))*IF(RegExpExtract(I6,".$")="m",10^-3,IF(RegExpExtract(I6,".$")="u",10^-6,IF(RegExpExtract(I6,".$")="n",10^-9,IF(RegExpExtract(I6,".$")="p",10^-12,1))))</f>
        <v>0.1</v>
      </c>
      <c r="X6" s="24">
        <f>VALUE(RegExpExtract(J6,"(\d|[,-])+"))*IF(RegExpExtract(J6,".$")="m",10^-3,IF(RegExpExtract(J6,".$")="u",10^-6,IF(RegExpExtract(J6,".$")="n",10^-9,IF(RegExpExtract(J6,".$")="p",10^-12,1))))</f>
        <v>0.1</v>
      </c>
      <c r="Y6" s="24">
        <f>VALUE(RegExpExtract(K6,"(\d|[,-])+"))*IF(RegExpExtract(K6,".$")="m",10^-3,IF(RegExpExtract(K6,".$")="u",10^-6,IF(RegExpExtract(K6,".$")="n",10^-9,IF(RegExpExtract(K6,".$")="p",10^-12,1))))</f>
        <v>0.1</v>
      </c>
      <c r="Z6" s="24">
        <f>VALUE(RegExpExtract(L6,"(\d|[,-])+"))*IF(RegExpExtract(L6,".$")="m",10^-3,IF(RegExpExtract(L6,".$")="u",10^-6,IF(RegExpExtract(L6,".$")="n",10^-9,IF(RegExpExtract(L6,".$")="p",10^-12,1))))</f>
        <v>0.1</v>
      </c>
      <c r="AA6" s="24">
        <f>VALUE(RegExpExtract(M6,"(\d|[,-])+"))*IF(RegExpExtract(M6,".$")="m",10^-3,IF(RegExpExtract(M6,".$")="u",10^-6,IF(RegExpExtract(M6,".$")="n",10^-9,IF(RegExpExtract(M6,".$")="p",10^-12,1))))</f>
        <v>0.1</v>
      </c>
      <c r="AB6" s="24"/>
      <c r="AC6" s="24">
        <f t="shared" si="1"/>
        <v>1E-3</v>
      </c>
      <c r="AD6" s="24">
        <f t="shared" si="2"/>
        <v>0.17800000000000005</v>
      </c>
      <c r="AE6" s="24">
        <f t="shared" si="2"/>
        <v>0.17900000000000005</v>
      </c>
      <c r="AF6" s="24">
        <f t="shared" si="2"/>
        <v>0.17900000000000005</v>
      </c>
      <c r="AG6" s="24">
        <f t="shared" si="2"/>
        <v>0.18099999999999994</v>
      </c>
      <c r="AH6" s="24">
        <f t="shared" si="2"/>
        <v>0.17900000000000005</v>
      </c>
      <c r="AI6" s="24">
        <f t="shared" si="2"/>
        <v>0.17900000000000005</v>
      </c>
      <c r="AJ6" s="24">
        <f t="shared" si="2"/>
        <v>0.17900000000000005</v>
      </c>
      <c r="AK6" s="24">
        <f t="shared" si="2"/>
        <v>0.17900000000000005</v>
      </c>
      <c r="AL6" s="24">
        <f t="shared" si="2"/>
        <v>0.17900000000000005</v>
      </c>
      <c r="AM6" s="24">
        <f t="shared" si="2"/>
        <v>0.17900000000000005</v>
      </c>
      <c r="AN6" s="24">
        <f t="shared" si="2"/>
        <v>0.17900000000000005</v>
      </c>
      <c r="AO6" s="24">
        <f t="shared" si="2"/>
        <v>0.17900000000000005</v>
      </c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</row>
    <row r="7" spans="1:52">
      <c r="A7" s="7" t="s">
        <v>11</v>
      </c>
      <c r="B7" s="16" t="s">
        <v>89</v>
      </c>
      <c r="C7" s="17" t="s">
        <v>16</v>
      </c>
      <c r="D7" s="17" t="s">
        <v>73</v>
      </c>
      <c r="E7" s="17" t="s">
        <v>58</v>
      </c>
      <c r="F7" s="17" t="s">
        <v>47</v>
      </c>
      <c r="G7" s="17" t="s">
        <v>21</v>
      </c>
      <c r="H7" s="17" t="s">
        <v>13</v>
      </c>
      <c r="I7" s="17" t="s">
        <v>13</v>
      </c>
      <c r="J7" s="17" t="s">
        <v>13</v>
      </c>
      <c r="K7" s="17" t="s">
        <v>13</v>
      </c>
      <c r="L7" s="17" t="s">
        <v>13</v>
      </c>
      <c r="M7" s="18" t="s">
        <v>13</v>
      </c>
      <c r="O7" s="28">
        <f>VALUE(RegExpExtract(A7,"(\d|[,-])+"))*IF(RegExpExtract(A7,".$")="m",10^-3,IF(RegExpExtract(A7,".$")="u",10^-6,IF(RegExpExtract(A7,".$")="n",10^-9,IF(RegExpExtract(A7,".$")="p",10^-12,1))))</f>
        <v>9.9999999999999991E-5</v>
      </c>
      <c r="P7" s="24">
        <f>VALUE(RegExpExtract(B7,"(\d|[,-])+"))*IF(RegExpExtract(B7,".$")="m",10^-3,IF(RegExpExtract(B7,".$")="u",10^-6,IF(RegExpExtract(B7,".$")="n",10^-9,IF(RegExpExtract(B7,".$")="p",10^-12,1))))</f>
        <v>-9.8999999999999994E-5</v>
      </c>
      <c r="Q7" s="24">
        <f>VALUE(RegExpExtract(C7,"(\d|[,-])+"))*IF(RegExpExtract(C7,".$")="m",10^-3,IF(RegExpExtract(C7,".$")="u",10^-6,IF(RegExpExtract(C7,".$")="n",10^-9,IF(RegExpExtract(C7,".$")="p",10^-12,1))))</f>
        <v>1.5999999999999999E-5</v>
      </c>
      <c r="R7" s="24">
        <f>VALUE(RegExpExtract(D7,"(\d|[,-])+"))*IF(RegExpExtract(D7,".$")="m",10^-3,IF(RegExpExtract(D7,".$")="u",10^-6,IF(RegExpExtract(D7,".$")="n",10^-9,IF(RegExpExtract(D7,".$")="p",10^-12,1))))</f>
        <v>2.5700000000000001E-4</v>
      </c>
      <c r="S7" s="24">
        <f>VALUE(RegExpExtract(E7,"(\d|[,-])+"))*IF(RegExpExtract(E7,".$")="m",10^-3,IF(RegExpExtract(E7,".$")="u",10^-6,IF(RegExpExtract(E7,".$")="n",10^-9,IF(RegExpExtract(E7,".$")="p",10^-12,1))))</f>
        <v>1.6000000000000001E-3</v>
      </c>
      <c r="T7" s="24">
        <f>VALUE(RegExpExtract(F7,"(\d|[,-])+"))*IF(RegExpExtract(F7,".$")="m",10^-3,IF(RegExpExtract(F7,".$")="u",10^-6,IF(RegExpExtract(F7,".$")="n",10^-9,IF(RegExpExtract(F7,".$")="p",10^-12,1))))</f>
        <v>8.3000000000000001E-3</v>
      </c>
      <c r="U7" s="24">
        <f>VALUE(RegExpExtract(G7,"(\d|[,-])+"))*IF(RegExpExtract(G7,".$")="m",10^-3,IF(RegExpExtract(G7,".$")="u",10^-6,IF(RegExpExtract(G7,".$")="n",10^-9,IF(RegExpExtract(G7,".$")="p",10^-12,1))))</f>
        <v>9.5999999999999992E-3</v>
      </c>
      <c r="V7" s="24">
        <f>VALUE(RegExpExtract(H7,"(\d|[,-])+"))*IF(RegExpExtract(H7,".$")="m",10^-3,IF(RegExpExtract(H7,".$")="u",10^-6,IF(RegExpExtract(H7,".$")="n",10^-9,IF(RegExpExtract(H7,".$")="p",10^-12,1))))</f>
        <v>0.01</v>
      </c>
      <c r="W7" s="24">
        <f>VALUE(RegExpExtract(I7,"(\d|[,-])+"))*IF(RegExpExtract(I7,".$")="m",10^-3,IF(RegExpExtract(I7,".$")="u",10^-6,IF(RegExpExtract(I7,".$")="n",10^-9,IF(RegExpExtract(I7,".$")="p",10^-12,1))))</f>
        <v>0.01</v>
      </c>
      <c r="X7" s="24">
        <f>VALUE(RegExpExtract(J7,"(\d|[,-])+"))*IF(RegExpExtract(J7,".$")="m",10^-3,IF(RegExpExtract(J7,".$")="u",10^-6,IF(RegExpExtract(J7,".$")="n",10^-9,IF(RegExpExtract(J7,".$")="p",10^-12,1))))</f>
        <v>0.01</v>
      </c>
      <c r="Y7" s="24">
        <f>VALUE(RegExpExtract(K7,"(\d|[,-])+"))*IF(RegExpExtract(K7,".$")="m",10^-3,IF(RegExpExtract(K7,".$")="u",10^-6,IF(RegExpExtract(K7,".$")="n",10^-9,IF(RegExpExtract(K7,".$")="p",10^-12,1))))</f>
        <v>0.01</v>
      </c>
      <c r="Z7" s="24">
        <f>VALUE(RegExpExtract(L7,"(\d|[,-])+"))*IF(RegExpExtract(L7,".$")="m",10^-3,IF(RegExpExtract(L7,".$")="u",10^-6,IF(RegExpExtract(L7,".$")="n",10^-9,IF(RegExpExtract(L7,".$")="p",10^-12,1))))</f>
        <v>0.01</v>
      </c>
      <c r="AA7" s="24">
        <f>VALUE(RegExpExtract(M7,"(\d|[,-])+"))*IF(RegExpExtract(M7,".$")="m",10^-3,IF(RegExpExtract(M7,".$")="u",10^-6,IF(RegExpExtract(M7,".$")="n",10^-9,IF(RegExpExtract(M7,".$")="p",10^-12,1))))</f>
        <v>0.01</v>
      </c>
      <c r="AB7" s="24"/>
      <c r="AC7" s="24">
        <f t="shared" si="1"/>
        <v>9.9999999999999991E-5</v>
      </c>
      <c r="AD7" s="24">
        <f t="shared" si="2"/>
        <v>0.17899999999999994</v>
      </c>
      <c r="AE7" s="24">
        <f t="shared" si="2"/>
        <v>0.17899999999999994</v>
      </c>
      <c r="AF7" s="24">
        <f t="shared" si="2"/>
        <v>0.17899999999999994</v>
      </c>
      <c r="AG7" s="24">
        <f t="shared" si="2"/>
        <v>0.17900000000000005</v>
      </c>
      <c r="AH7" s="24">
        <f t="shared" si="2"/>
        <v>0.17300000000000004</v>
      </c>
      <c r="AI7" s="24">
        <f t="shared" si="2"/>
        <v>0.17899999999999994</v>
      </c>
      <c r="AJ7" s="24">
        <f t="shared" si="2"/>
        <v>0.17899999999999994</v>
      </c>
      <c r="AK7" s="24">
        <f t="shared" si="2"/>
        <v>0.17899999999999994</v>
      </c>
      <c r="AL7" s="24">
        <f t="shared" si="2"/>
        <v>0.17899999999999994</v>
      </c>
      <c r="AM7" s="24">
        <f t="shared" si="2"/>
        <v>0.17899999999999994</v>
      </c>
      <c r="AN7" s="24">
        <f t="shared" si="2"/>
        <v>0.17899999999999994</v>
      </c>
      <c r="AO7" s="24">
        <f t="shared" si="2"/>
        <v>0.17899999999999994</v>
      </c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</row>
    <row r="8" spans="1:52">
      <c r="A8" s="7" t="s">
        <v>10</v>
      </c>
      <c r="B8" s="16" t="s">
        <v>90</v>
      </c>
      <c r="C8" s="17" t="s">
        <v>76</v>
      </c>
      <c r="D8" s="17" t="s">
        <v>74</v>
      </c>
      <c r="E8" s="17" t="s">
        <v>51</v>
      </c>
      <c r="F8" s="17" t="s">
        <v>50</v>
      </c>
      <c r="G8" s="17" t="s">
        <v>12</v>
      </c>
      <c r="H8" s="17" t="s">
        <v>12</v>
      </c>
      <c r="I8" s="17" t="s">
        <v>12</v>
      </c>
      <c r="J8" s="17" t="s">
        <v>12</v>
      </c>
      <c r="K8" s="17" t="s">
        <v>12</v>
      </c>
      <c r="L8" s="17" t="s">
        <v>12</v>
      </c>
      <c r="M8" s="18" t="s">
        <v>12</v>
      </c>
      <c r="O8" s="28">
        <f>VALUE(RegExpExtract(A8,"(\d|[,-])+"))*IF(RegExpExtract(A8,".$")="m",10^-3,IF(RegExpExtract(A8,".$")="u",10^-6,IF(RegExpExtract(A8,".$")="n",10^-9,IF(RegExpExtract(A8,".$")="p",10^-12,1))))</f>
        <v>9.9999999999999991E-6</v>
      </c>
      <c r="P8" s="24">
        <f>VALUE(RegExpExtract(B8,"(\d|[,-])+"))*IF(RegExpExtract(B8,".$")="m",10^-3,IF(RegExpExtract(B8,".$")="u",10^-6,IF(RegExpExtract(B8,".$")="n",10^-9,IF(RegExpExtract(B8,".$")="p",10^-12,1))))</f>
        <v>-9.9999999999999991E-6</v>
      </c>
      <c r="Q8" s="24">
        <f>VALUE(RegExpExtract(C8,"(\d|[,-])+"))*IF(RegExpExtract(C8,".$")="m",10^-3,IF(RegExpExtract(C8,".$")="u",10^-6,IF(RegExpExtract(C8,".$")="n",10^-9,IF(RegExpExtract(C8,".$")="p",10^-12,1))))</f>
        <v>1.6999999999999998E-6</v>
      </c>
      <c r="R8" s="24">
        <f>VALUE(RegExpExtract(D8,"(\d|[,-])+"))*IF(RegExpExtract(D8,".$")="m",10^-3,IF(RegExpExtract(D8,".$")="u",10^-6,IF(RegExpExtract(D8,".$")="n",10^-9,IF(RegExpExtract(D8,".$")="p",10^-12,1))))</f>
        <v>2.5999999999999998E-5</v>
      </c>
      <c r="S8" s="24">
        <f>VALUE(RegExpExtract(E8,"(\d|[,-])+"))*IF(RegExpExtract(E8,".$")="m",10^-3,IF(RegExpExtract(E8,".$")="u",10^-6,IF(RegExpExtract(E8,".$")="n",10^-9,IF(RegExpExtract(E8,".$")="p",10^-12,1))))</f>
        <v>1.66E-4</v>
      </c>
      <c r="T8" s="24">
        <f>VALUE(RegExpExtract(F8,"(\d|[,-])+"))*IF(RegExpExtract(F8,".$")="m",10^-3,IF(RegExpExtract(F8,".$")="u",10^-6,IF(RegExpExtract(F8,".$")="n",10^-9,IF(RegExpExtract(F8,".$")="p",10^-12,1))))</f>
        <v>8.3000000000000001E-4</v>
      </c>
      <c r="U8" s="24">
        <f>VALUE(RegExpExtract(G8,"(\d|[,-])+"))*IF(RegExpExtract(G8,".$")="m",10^-3,IF(RegExpExtract(G8,".$")="u",10^-6,IF(RegExpExtract(G8,".$")="n",10^-9,IF(RegExpExtract(G8,".$")="p",10^-12,1))))</f>
        <v>1E-3</v>
      </c>
      <c r="V8" s="24">
        <f>VALUE(RegExpExtract(H8,"(\d|[,-])+"))*IF(RegExpExtract(H8,".$")="m",10^-3,IF(RegExpExtract(H8,".$")="u",10^-6,IF(RegExpExtract(H8,".$")="n",10^-9,IF(RegExpExtract(H8,".$")="p",10^-12,1))))</f>
        <v>1E-3</v>
      </c>
      <c r="W8" s="24">
        <f>VALUE(RegExpExtract(I8,"(\d|[,-])+"))*IF(RegExpExtract(I8,".$")="m",10^-3,IF(RegExpExtract(I8,".$")="u",10^-6,IF(RegExpExtract(I8,".$")="n",10^-9,IF(RegExpExtract(I8,".$")="p",10^-12,1))))</f>
        <v>1E-3</v>
      </c>
      <c r="X8" s="24">
        <f>VALUE(RegExpExtract(J8,"(\d|[,-])+"))*IF(RegExpExtract(J8,".$")="m",10^-3,IF(RegExpExtract(J8,".$")="u",10^-6,IF(RegExpExtract(J8,".$")="n",10^-9,IF(RegExpExtract(J8,".$")="p",10^-12,1))))</f>
        <v>1E-3</v>
      </c>
      <c r="Y8" s="24">
        <f>VALUE(RegExpExtract(K8,"(\d|[,-])+"))*IF(RegExpExtract(K8,".$")="m",10^-3,IF(RegExpExtract(K8,".$")="u",10^-6,IF(RegExpExtract(K8,".$")="n",10^-9,IF(RegExpExtract(K8,".$")="p",10^-12,1))))</f>
        <v>1E-3</v>
      </c>
      <c r="Z8" s="24">
        <f>VALUE(RegExpExtract(L8,"(\d|[,-])+"))*IF(RegExpExtract(L8,".$")="m",10^-3,IF(RegExpExtract(L8,".$")="u",10^-6,IF(RegExpExtract(L8,".$")="n",10^-9,IF(RegExpExtract(L8,".$")="p",10^-12,1))))</f>
        <v>1E-3</v>
      </c>
      <c r="AA8" s="24">
        <f>VALUE(RegExpExtract(M8,"(\d|[,-])+"))*IF(RegExpExtract(M8,".$")="m",10^-3,IF(RegExpExtract(M8,".$")="u",10^-6,IF(RegExpExtract(M8,".$")="n",10^-9,IF(RegExpExtract(M8,".$")="p",10^-12,1))))</f>
        <v>1E-3</v>
      </c>
      <c r="AB8" s="24"/>
      <c r="AC8" s="24">
        <f t="shared" si="1"/>
        <v>9.9999999999999991E-6</v>
      </c>
      <c r="AD8" s="24">
        <f t="shared" si="2"/>
        <v>0.17799999999999999</v>
      </c>
      <c r="AE8" s="24">
        <f t="shared" si="2"/>
        <v>0.17800000000000005</v>
      </c>
      <c r="AF8" s="24">
        <f t="shared" si="2"/>
        <v>0.17900000000000005</v>
      </c>
      <c r="AG8" s="24">
        <f t="shared" si="2"/>
        <v>0.17899999999999994</v>
      </c>
      <c r="AH8" s="24">
        <f t="shared" si="2"/>
        <v>0.17900000000000005</v>
      </c>
      <c r="AI8" s="24">
        <f t="shared" si="2"/>
        <v>0.17800000000000005</v>
      </c>
      <c r="AJ8" s="24">
        <f t="shared" si="2"/>
        <v>0.17900000000000005</v>
      </c>
      <c r="AK8" s="24">
        <f t="shared" si="2"/>
        <v>0.17900000000000005</v>
      </c>
      <c r="AL8" s="24">
        <f t="shared" si="2"/>
        <v>0.17900000000000005</v>
      </c>
      <c r="AM8" s="24">
        <f t="shared" si="2"/>
        <v>0.17900000000000005</v>
      </c>
      <c r="AN8" s="24">
        <f t="shared" si="2"/>
        <v>0.17900000000000005</v>
      </c>
      <c r="AO8" s="24">
        <f t="shared" si="2"/>
        <v>0.17900000000000005</v>
      </c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</row>
    <row r="9" spans="1:52">
      <c r="A9" s="7" t="s">
        <v>4</v>
      </c>
      <c r="B9" s="16" t="s">
        <v>19</v>
      </c>
      <c r="C9" s="17" t="s">
        <v>18</v>
      </c>
      <c r="D9" s="17" t="s">
        <v>17</v>
      </c>
      <c r="E9" s="17" t="s">
        <v>16</v>
      </c>
      <c r="F9" s="17" t="s">
        <v>15</v>
      </c>
      <c r="G9" s="17" t="s">
        <v>11</v>
      </c>
      <c r="H9" s="17" t="s">
        <v>11</v>
      </c>
      <c r="I9" s="17" t="s">
        <v>11</v>
      </c>
      <c r="J9" s="17" t="s">
        <v>11</v>
      </c>
      <c r="K9" s="17" t="s">
        <v>11</v>
      </c>
      <c r="L9" s="17" t="s">
        <v>11</v>
      </c>
      <c r="M9" s="18" t="s">
        <v>11</v>
      </c>
      <c r="O9" s="28">
        <f>VALUE(RegExpExtract(A9,"(\d|[,-])+"))*IF(RegExpExtract(A9,".$")="m",10^-3,IF(RegExpExtract(A9,".$")="u",10^-6,IF(RegExpExtract(A9,".$")="n",10^-9,IF(RegExpExtract(A9,".$")="p",10^-12,1))))</f>
        <v>9.9999999999999995E-7</v>
      </c>
      <c r="P9" s="24">
        <f>VALUE(RegExpExtract(B9,"(\d|[,-])+"))*IF(RegExpExtract(B9,".$")="m",10^-3,IF(RegExpExtract(B9,".$")="u",10^-6,IF(RegExpExtract(B9,".$")="n",10^-9,IF(RegExpExtract(B9,".$")="p",10^-12,1))))</f>
        <v>-9.9000000000000005E-7</v>
      </c>
      <c r="Q9" s="24">
        <f>VALUE(RegExpExtract(C9,"(\d|[,-])+"))*IF(RegExpExtract(C9,".$")="m",10^-3,IF(RegExpExtract(C9,".$")="u",10^-6,IF(RegExpExtract(C9,".$")="n",10^-9,IF(RegExpExtract(C9,".$")="p",10^-12,1))))</f>
        <v>1.36E-7</v>
      </c>
      <c r="R9" s="24">
        <f>VALUE(RegExpExtract(D9,"(\d|[,-])+"))*IF(RegExpExtract(D9,".$")="m",10^-3,IF(RegExpExtract(D9,".$")="u",10^-6,IF(RegExpExtract(D9,".$")="n",10^-9,IF(RegExpExtract(D9,".$")="p",10^-12,1))))</f>
        <v>2.6000000000000001E-6</v>
      </c>
      <c r="S9" s="24">
        <f>VALUE(RegExpExtract(E9,"(\d|[,-])+"))*IF(RegExpExtract(E9,".$")="m",10^-3,IF(RegExpExtract(E9,".$")="u",10^-6,IF(RegExpExtract(E9,".$")="n",10^-9,IF(RegExpExtract(E9,".$")="p",10^-12,1))))</f>
        <v>1.5999999999999999E-5</v>
      </c>
      <c r="T9" s="24">
        <f>VALUE(RegExpExtract(F9,"(\d|[,-])+"))*IF(RegExpExtract(F9,".$")="m",10^-3,IF(RegExpExtract(F9,".$")="u",10^-6,IF(RegExpExtract(F9,".$")="n",10^-9,IF(RegExpExtract(F9,".$")="p",10^-12,1))))</f>
        <v>8.2999999999999998E-5</v>
      </c>
      <c r="U9" s="24">
        <f>VALUE(RegExpExtract(G9,"(\d|[,-])+"))*IF(RegExpExtract(G9,".$")="m",10^-3,IF(RegExpExtract(G9,".$")="u",10^-6,IF(RegExpExtract(G9,".$")="n",10^-9,IF(RegExpExtract(G9,".$")="p",10^-12,1))))</f>
        <v>9.9999999999999991E-5</v>
      </c>
      <c r="V9" s="24">
        <f>VALUE(RegExpExtract(H9,"(\d|[,-])+"))*IF(RegExpExtract(H9,".$")="m",10^-3,IF(RegExpExtract(H9,".$")="u",10^-6,IF(RegExpExtract(H9,".$")="n",10^-9,IF(RegExpExtract(H9,".$")="p",10^-12,1))))</f>
        <v>9.9999999999999991E-5</v>
      </c>
      <c r="W9" s="24">
        <f>VALUE(RegExpExtract(I9,"(\d|[,-])+"))*IF(RegExpExtract(I9,".$")="m",10^-3,IF(RegExpExtract(I9,".$")="u",10^-6,IF(RegExpExtract(I9,".$")="n",10^-9,IF(RegExpExtract(I9,".$")="p",10^-12,1))))</f>
        <v>9.9999999999999991E-5</v>
      </c>
      <c r="X9" s="24">
        <f>VALUE(RegExpExtract(J9,"(\d|[,-])+"))*IF(RegExpExtract(J9,".$")="m",10^-3,IF(RegExpExtract(J9,".$")="u",10^-6,IF(RegExpExtract(J9,".$")="n",10^-9,IF(RegExpExtract(J9,".$")="p",10^-12,1))))</f>
        <v>9.9999999999999991E-5</v>
      </c>
      <c r="Y9" s="24">
        <f>VALUE(RegExpExtract(K9,"(\d|[,-])+"))*IF(RegExpExtract(K9,".$")="m",10^-3,IF(RegExpExtract(K9,".$")="u",10^-6,IF(RegExpExtract(K9,".$")="n",10^-9,IF(RegExpExtract(K9,".$")="p",10^-12,1))))</f>
        <v>9.9999999999999991E-5</v>
      </c>
      <c r="Z9" s="24">
        <f>VALUE(RegExpExtract(L9,"(\d|[,-])+"))*IF(RegExpExtract(L9,".$")="m",10^-3,IF(RegExpExtract(L9,".$")="u",10^-6,IF(RegExpExtract(L9,".$")="n",10^-9,IF(RegExpExtract(L9,".$")="p",10^-12,1))))</f>
        <v>9.9999999999999991E-5</v>
      </c>
      <c r="AA9" s="24">
        <f>VALUE(RegExpExtract(M9,"(\d|[,-])+"))*IF(RegExpExtract(M9,".$")="m",10^-3,IF(RegExpExtract(M9,".$")="u",10^-6,IF(RegExpExtract(M9,".$")="n",10^-9,IF(RegExpExtract(M9,".$")="p",10^-12,1))))</f>
        <v>9.9999999999999991E-5</v>
      </c>
      <c r="AB9" s="24"/>
      <c r="AC9" s="24">
        <f t="shared" si="1"/>
        <v>9.9999999999999995E-7</v>
      </c>
      <c r="AD9" s="24">
        <f t="shared" si="2"/>
        <v>0.17999999999999994</v>
      </c>
      <c r="AE9" s="39">
        <f t="shared" si="2"/>
        <v>0.17899999999999999</v>
      </c>
      <c r="AF9" s="24">
        <f t="shared" si="2"/>
        <v>0.17899999999999999</v>
      </c>
      <c r="AG9" s="24">
        <f t="shared" si="2"/>
        <v>0.17800000000000005</v>
      </c>
      <c r="AH9" s="24">
        <f t="shared" si="2"/>
        <v>0.17799999999999994</v>
      </c>
      <c r="AI9" s="24">
        <f t="shared" si="2"/>
        <v>0.17799999999999994</v>
      </c>
      <c r="AJ9" s="24">
        <f t="shared" si="2"/>
        <v>0.17899999999999994</v>
      </c>
      <c r="AK9" s="24">
        <f t="shared" si="2"/>
        <v>0.17899999999999994</v>
      </c>
      <c r="AL9" s="24">
        <f t="shared" si="2"/>
        <v>0.17899999999999994</v>
      </c>
      <c r="AM9" s="24">
        <f t="shared" si="2"/>
        <v>0.17899999999999994</v>
      </c>
      <c r="AN9" s="24">
        <f t="shared" si="2"/>
        <v>0.17899999999999994</v>
      </c>
      <c r="AO9" s="24">
        <f t="shared" si="2"/>
        <v>0.17899999999999994</v>
      </c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</row>
    <row r="10" spans="1:52">
      <c r="A10" s="7">
        <v>0</v>
      </c>
      <c r="B10" s="19">
        <v>0</v>
      </c>
      <c r="C10" s="17" t="s">
        <v>98</v>
      </c>
      <c r="D10" s="17" t="s">
        <v>99</v>
      </c>
      <c r="E10" s="17" t="s">
        <v>100</v>
      </c>
      <c r="F10" s="17" t="s">
        <v>101</v>
      </c>
      <c r="G10" s="17" t="s">
        <v>102</v>
      </c>
      <c r="H10" s="17" t="s">
        <v>103</v>
      </c>
      <c r="I10" s="17" t="s">
        <v>103</v>
      </c>
      <c r="J10" s="17" t="s">
        <v>103</v>
      </c>
      <c r="K10" s="17" t="s">
        <v>103</v>
      </c>
      <c r="L10" s="17" t="s">
        <v>103</v>
      </c>
      <c r="M10" s="18" t="s">
        <v>103</v>
      </c>
      <c r="O10" s="28">
        <f>VALUE(RegExpExtract(A10,"(\d|[,-])+"))*IF(RegExpExtract(A10,".$")="m",10^-3,IF(RegExpExtract(A10,".$")="u",10^-6,IF(RegExpExtract(A10,".$")="n",10^-9,IF(RegExpExtract(A10,".$")="p",10^-12,1))))</f>
        <v>0</v>
      </c>
      <c r="P10" s="24">
        <f>VALUE(RegExpExtract(B10,"(\d|[,-])+"))*IF(RegExpExtract(B10,".$")="m",10^-3,IF(RegExpExtract(B10,".$")="u",10^-6,IF(RegExpExtract(B10,".$")="n",10^-9,IF(RegExpExtract(B10,".$")="p",10^-12,1))))</f>
        <v>0</v>
      </c>
      <c r="Q10" s="24">
        <f>VALUE(RegExpExtract(C10,"(\d|[,-])+"))*IF(RegExpExtract(C10,".$")="m",10^-3,IF(RegExpExtract(C10,".$")="u",10^-6,IF(RegExpExtract(C10,".$")="n",10^-9,IF(RegExpExtract(C10,".$")="p",10^-12,1))))</f>
        <v>1E-13</v>
      </c>
      <c r="R10" s="24">
        <f>VALUE(RegExpExtract(D10,"(\d|[,-])+"))*IF(RegExpExtract(D10,".$")="m",10^-3,IF(RegExpExtract(D10,".$")="u",10^-6,IF(RegExpExtract(D10,".$")="n",10^-9,IF(RegExpExtract(D10,".$")="p",10^-12,1))))</f>
        <v>4.0000000000000001E-13</v>
      </c>
      <c r="S10" s="24">
        <f>VALUE(RegExpExtract(E10,"(\d|[,-])+"))*IF(RegExpExtract(E10,".$")="m",10^-3,IF(RegExpExtract(E10,".$")="u",10^-6,IF(RegExpExtract(E10,".$")="n",10^-9,IF(RegExpExtract(E10,".$")="p",10^-12,1))))</f>
        <v>1.8E-12</v>
      </c>
      <c r="T10" s="24">
        <f>VALUE(RegExpExtract(F10,"(\d|[,-])+"))*IF(RegExpExtract(F10,".$")="m",10^-3,IF(RegExpExtract(F10,".$")="u",10^-6,IF(RegExpExtract(F10,".$")="n",10^-9,IF(RegExpExtract(F10,".$")="p",10^-12,1))))</f>
        <v>8.3999999999999998E-12</v>
      </c>
      <c r="U10" s="24">
        <f>VALUE(RegExpExtract(G10,"(\d|[,-])+"))*IF(RegExpExtract(G10,".$")="m",10^-3,IF(RegExpExtract(G10,".$")="u",10^-6,IF(RegExpExtract(G10,".$")="n",10^-9,IF(RegExpExtract(G10,".$")="p",10^-12,1))))</f>
        <v>9.8000000000000011E-12</v>
      </c>
      <c r="V10" s="24">
        <f>VALUE(RegExpExtract(H10,"(\d|[,-])+"))*IF(RegExpExtract(H10,".$")="m",10^-3,IF(RegExpExtract(H10,".$")="u",10^-6,IF(RegExpExtract(H10,".$")="n",10^-9,IF(RegExpExtract(H10,".$")="p",10^-12,1))))</f>
        <v>9.9999999999999994E-12</v>
      </c>
      <c r="W10" s="24">
        <f>VALUE(RegExpExtract(I10,"(\d|[,-])+"))*IF(RegExpExtract(I10,".$")="m",10^-3,IF(RegExpExtract(I10,".$")="u",10^-6,IF(RegExpExtract(I10,".$")="n",10^-9,IF(RegExpExtract(I10,".$")="p",10^-12,1))))</f>
        <v>9.9999999999999994E-12</v>
      </c>
      <c r="X10" s="24">
        <f>VALUE(RegExpExtract(J10,"(\d|[,-])+"))*IF(RegExpExtract(J10,".$")="m",10^-3,IF(RegExpExtract(J10,".$")="u",10^-6,IF(RegExpExtract(J10,".$")="n",10^-9,IF(RegExpExtract(J10,".$")="p",10^-12,1))))</f>
        <v>9.9999999999999994E-12</v>
      </c>
      <c r="Y10" s="24">
        <f>VALUE(RegExpExtract(K10,"(\d|[,-])+"))*IF(RegExpExtract(K10,".$")="m",10^-3,IF(RegExpExtract(K10,".$")="u",10^-6,IF(RegExpExtract(K10,".$")="n",10^-9,IF(RegExpExtract(K10,".$")="p",10^-12,1))))</f>
        <v>9.9999999999999994E-12</v>
      </c>
      <c r="Z10" s="24">
        <f>VALUE(RegExpExtract(L10,"(\d|[,-])+"))*IF(RegExpExtract(L10,".$")="m",10^-3,IF(RegExpExtract(L10,".$")="u",10^-6,IF(RegExpExtract(L10,".$")="n",10^-9,IF(RegExpExtract(L10,".$")="p",10^-12,1))))</f>
        <v>9.9999999999999994E-12</v>
      </c>
      <c r="AA10" s="24">
        <f>VALUE(RegExpExtract(M10,"(\d|[,-])+"))*IF(RegExpExtract(M10,".$")="m",10^-3,IF(RegExpExtract(M10,".$")="u",10^-6,IF(RegExpExtract(M10,".$")="n",10^-9,IF(RegExpExtract(M10,".$")="p",10^-12,1))))</f>
        <v>9.9999999999999994E-12</v>
      </c>
      <c r="AB10" s="24"/>
      <c r="AC10" s="24">
        <f t="shared" si="1"/>
        <v>0</v>
      </c>
      <c r="AD10" s="24">
        <f t="shared" si="2"/>
        <v>0.53500000000000003</v>
      </c>
      <c r="AE10" s="24">
        <f t="shared" si="2"/>
        <v>0.53600000000000003</v>
      </c>
      <c r="AF10" s="24">
        <f t="shared" si="2"/>
        <v>0.53500000000000003</v>
      </c>
      <c r="AG10" s="24">
        <f t="shared" si="2"/>
        <v>0.53500000000000003</v>
      </c>
      <c r="AH10" s="24">
        <f t="shared" si="2"/>
        <v>0.53600000000000003</v>
      </c>
      <c r="AI10" s="24">
        <f t="shared" si="2"/>
        <v>0.53600000000000003</v>
      </c>
      <c r="AJ10" s="24">
        <f t="shared" si="2"/>
        <v>0.53600000000000003</v>
      </c>
      <c r="AK10" s="24">
        <f t="shared" si="2"/>
        <v>0.53600000000000003</v>
      </c>
      <c r="AL10" s="24">
        <f t="shared" si="2"/>
        <v>0.53600000000000003</v>
      </c>
      <c r="AM10" s="24">
        <f t="shared" si="2"/>
        <v>0.53600000000000003</v>
      </c>
      <c r="AN10" s="24">
        <f t="shared" si="2"/>
        <v>0.53600000000000003</v>
      </c>
      <c r="AO10" s="24">
        <f t="shared" si="2"/>
        <v>0.53600000000000003</v>
      </c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</row>
    <row r="11" spans="1:52" ht="15.75" thickBot="1">
      <c r="A11" s="8" t="s">
        <v>104</v>
      </c>
      <c r="B11" s="20" t="s">
        <v>98</v>
      </c>
      <c r="C11" s="20" t="s">
        <v>98</v>
      </c>
      <c r="D11" s="20" t="s">
        <v>98</v>
      </c>
      <c r="E11" s="20" t="s">
        <v>98</v>
      </c>
      <c r="F11" s="20" t="s">
        <v>98</v>
      </c>
      <c r="G11" s="20" t="s">
        <v>98</v>
      </c>
      <c r="H11" s="20" t="s">
        <v>98</v>
      </c>
      <c r="I11" s="20" t="s">
        <v>98</v>
      </c>
      <c r="J11" s="20" t="s">
        <v>98</v>
      </c>
      <c r="K11" s="20" t="s">
        <v>98</v>
      </c>
      <c r="L11" s="20" t="s">
        <v>98</v>
      </c>
      <c r="M11" s="21" t="s">
        <v>98</v>
      </c>
      <c r="N11" s="25" t="s">
        <v>107</v>
      </c>
      <c r="O11" s="28">
        <f>VALUE(RegExpExtract(A11,"(\d|[,-])+"))*IF(RegExpExtract(A11,".$")="m",10^-3,IF(RegExpExtract(A11,".$")="u",10^-6,IF(RegExpExtract(A11,".$")="n",10^-9,IF(RegExpExtract(A11,".$")="p",10^-12,1))))</f>
        <v>-1E-13</v>
      </c>
      <c r="P11" s="24">
        <f>VALUE(RegExpExtract(B11,"(\d|[,-])+"))*IF(RegExpExtract(B11,".$")="m",10^-3,IF(RegExpExtract(B11,".$")="u",10^-6,IF(RegExpExtract(B11,".$")="n",10^-9,IF(RegExpExtract(B11,".$")="p",10^-12,1))))</f>
        <v>1E-13</v>
      </c>
      <c r="Q11" s="24">
        <f>VALUE(RegExpExtract(C11,"(\d|[,-])+"))*IF(RegExpExtract(C11,".$")="m",10^-3,IF(RegExpExtract(C11,".$")="u",10^-6,IF(RegExpExtract(C11,".$")="n",10^-9,IF(RegExpExtract(C11,".$")="p",10^-12,1))))</f>
        <v>1E-13</v>
      </c>
      <c r="R11" s="24">
        <f>VALUE(RegExpExtract(D11,"(\d|[,-])+"))*IF(RegExpExtract(D11,".$")="m",10^-3,IF(RegExpExtract(D11,".$")="u",10^-6,IF(RegExpExtract(D11,".$")="n",10^-9,IF(RegExpExtract(D11,".$")="p",10^-12,1))))</f>
        <v>1E-13</v>
      </c>
      <c r="S11" s="24">
        <f>VALUE(RegExpExtract(E11,"(\d|[,-])+"))*IF(RegExpExtract(E11,".$")="m",10^-3,IF(RegExpExtract(E11,".$")="u",10^-6,IF(RegExpExtract(E11,".$")="n",10^-9,IF(RegExpExtract(E11,".$")="p",10^-12,1))))</f>
        <v>1E-13</v>
      </c>
      <c r="T11" s="24">
        <f>VALUE(RegExpExtract(F11,"(\d|[,-])+"))*IF(RegExpExtract(F11,".$")="m",10^-3,IF(RegExpExtract(F11,".$")="u",10^-6,IF(RegExpExtract(F11,".$")="n",10^-9,IF(RegExpExtract(F11,".$")="p",10^-12,1))))</f>
        <v>1E-13</v>
      </c>
      <c r="U11" s="24">
        <f>VALUE(RegExpExtract(G11,"(\d|[,-])+"))*IF(RegExpExtract(G11,".$")="m",10^-3,IF(RegExpExtract(G11,".$")="u",10^-6,IF(RegExpExtract(G11,".$")="n",10^-9,IF(RegExpExtract(G11,".$")="p",10^-12,1))))</f>
        <v>1E-13</v>
      </c>
      <c r="V11" s="24">
        <f>VALUE(RegExpExtract(H11,"(\d|[,-])+"))*IF(RegExpExtract(H11,".$")="m",10^-3,IF(RegExpExtract(H11,".$")="u",10^-6,IF(RegExpExtract(H11,".$")="n",10^-9,IF(RegExpExtract(H11,".$")="p",10^-12,1))))</f>
        <v>1E-13</v>
      </c>
      <c r="W11" s="24">
        <f>VALUE(RegExpExtract(I11,"(\d|[,-])+"))*IF(RegExpExtract(I11,".$")="m",10^-3,IF(RegExpExtract(I11,".$")="u",10^-6,IF(RegExpExtract(I11,".$")="n",10^-9,IF(RegExpExtract(I11,".$")="p",10^-12,1))))</f>
        <v>1E-13</v>
      </c>
      <c r="X11" s="24">
        <f>VALUE(RegExpExtract(J11,"(\d|[,-])+"))*IF(RegExpExtract(J11,".$")="m",10^-3,IF(RegExpExtract(J11,".$")="u",10^-6,IF(RegExpExtract(J11,".$")="n",10^-9,IF(RegExpExtract(J11,".$")="p",10^-12,1))))</f>
        <v>1E-13</v>
      </c>
      <c r="Y11" s="24">
        <f>VALUE(RegExpExtract(K11,"(\d|[,-])+"))*IF(RegExpExtract(K11,".$")="m",10^-3,IF(RegExpExtract(K11,".$")="u",10^-6,IF(RegExpExtract(K11,".$")="n",10^-9,IF(RegExpExtract(K11,".$")="p",10^-12,1))))</f>
        <v>1E-13</v>
      </c>
      <c r="Z11" s="24">
        <f>VALUE(RegExpExtract(L11,"(\d|[,-])+"))*IF(RegExpExtract(L11,".$")="m",10^-3,IF(RegExpExtract(L11,".$")="u",10^-6,IF(RegExpExtract(L11,".$")="n",10^-9,IF(RegExpExtract(L11,".$")="p",10^-12,1))))</f>
        <v>1E-13</v>
      </c>
      <c r="AA11" s="24">
        <f>VALUE(RegExpExtract(M11,"(\d|[,-])+"))*IF(RegExpExtract(M11,".$")="m",10^-3,IF(RegExpExtract(M11,".$")="u",10^-6,IF(RegExpExtract(M11,".$")="n",10^-9,IF(RegExpExtract(M11,".$")="p",10^-12,1))))</f>
        <v>1E-13</v>
      </c>
      <c r="AC11" s="24">
        <f t="shared" si="1"/>
        <v>-1E-13</v>
      </c>
      <c r="AD11" s="24">
        <f t="shared" si="2"/>
        <v>10.476000000000001</v>
      </c>
      <c r="AE11" s="24">
        <f t="shared" si="2"/>
        <v>10.496</v>
      </c>
      <c r="AF11" s="24">
        <f t="shared" si="2"/>
        <v>10.515000000000001</v>
      </c>
      <c r="AG11" s="24">
        <f t="shared" si="2"/>
        <v>10.551</v>
      </c>
      <c r="AH11" s="24">
        <f t="shared" si="2"/>
        <v>10.59</v>
      </c>
      <c r="AI11" s="24">
        <f t="shared" si="2"/>
        <v>10.595000000000001</v>
      </c>
      <c r="AJ11" s="24">
        <f t="shared" si="2"/>
        <v>10.595000000000001</v>
      </c>
      <c r="AK11" s="24">
        <f t="shared" si="2"/>
        <v>10.595000000000001</v>
      </c>
      <c r="AL11" s="24">
        <f t="shared" si="2"/>
        <v>10.595000000000001</v>
      </c>
      <c r="AM11" s="24">
        <f t="shared" si="2"/>
        <v>10.595000000000001</v>
      </c>
      <c r="AN11" s="24">
        <f t="shared" si="2"/>
        <v>10.595000000000001</v>
      </c>
      <c r="AO11" s="24">
        <f t="shared" si="2"/>
        <v>10.595000000000001</v>
      </c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</row>
    <row r="12" spans="1:52" ht="15.75" thickBot="1">
      <c r="A12" s="47" t="s">
        <v>2</v>
      </c>
      <c r="B12" s="5">
        <v>0</v>
      </c>
      <c r="C12" s="5">
        <v>0.02</v>
      </c>
      <c r="D12" s="5">
        <v>0.04</v>
      </c>
      <c r="E12" s="5">
        <v>0.08</v>
      </c>
      <c r="F12" s="5">
        <v>0.16</v>
      </c>
      <c r="G12" s="5">
        <v>0.2</v>
      </c>
      <c r="H12" s="5">
        <v>0.3</v>
      </c>
      <c r="I12" s="5">
        <v>0.4</v>
      </c>
      <c r="J12" s="5">
        <v>0.5</v>
      </c>
      <c r="K12" s="5">
        <v>1</v>
      </c>
      <c r="L12" s="5">
        <v>1.5</v>
      </c>
      <c r="M12" s="22">
        <v>2</v>
      </c>
      <c r="N12" s="26" t="s">
        <v>1</v>
      </c>
      <c r="O12" s="29"/>
      <c r="P12" s="30">
        <f>VALUE(RegExpExtract(B12,"(\d|[,-])+"))*IF(RegExpExtract(B12,".$")="m",10^-3,IF(RegExpExtract(B12,".$")="u",10^-6,IF(RegExpExtract(B12,".$")="n",10^-9,IF(RegExpExtract(B12,".$")="p",10^-12,1))))</f>
        <v>0</v>
      </c>
      <c r="Q12" s="30">
        <f>VALUE(RegExpExtract(C12,"(\d|[,-])+"))*IF(RegExpExtract(C12,".$")="m",10^-3,IF(RegExpExtract(C12,".$")="u",10^-6,IF(RegExpExtract(C12,".$")="n",10^-9,IF(RegExpExtract(C12,".$")="p",10^-12,1))))</f>
        <v>0.02</v>
      </c>
      <c r="R12" s="30">
        <f>VALUE(RegExpExtract(D12,"(\d|[,-])+"))*IF(RegExpExtract(D12,".$")="m",10^-3,IF(RegExpExtract(D12,".$")="u",10^-6,IF(RegExpExtract(D12,".$")="n",10^-9,IF(RegExpExtract(D12,".$")="p",10^-12,1))))</f>
        <v>0.04</v>
      </c>
      <c r="S12" s="30">
        <f>VALUE(RegExpExtract(E12,"(\d|[,-])+"))*IF(RegExpExtract(E12,".$")="m",10^-3,IF(RegExpExtract(E12,".$")="u",10^-6,IF(RegExpExtract(E12,".$")="n",10^-9,IF(RegExpExtract(E12,".$")="p",10^-12,1))))</f>
        <v>0.08</v>
      </c>
      <c r="T12" s="30">
        <f>VALUE(RegExpExtract(F12,"(\d|[,-])+"))*IF(RegExpExtract(F12,".$")="m",10^-3,IF(RegExpExtract(F12,".$")="u",10^-6,IF(RegExpExtract(F12,".$")="n",10^-9,IF(RegExpExtract(F12,".$")="p",10^-12,1))))</f>
        <v>0.16</v>
      </c>
      <c r="U12" s="30">
        <f>VALUE(RegExpExtract(G12,"(\d|[,-])+"))*IF(RegExpExtract(G12,".$")="m",10^-3,IF(RegExpExtract(G12,".$")="u",10^-6,IF(RegExpExtract(G12,".$")="n",10^-9,IF(RegExpExtract(G12,".$")="p",10^-12,1))))</f>
        <v>0.2</v>
      </c>
      <c r="V12" s="30">
        <f>VALUE(RegExpExtract(H12,"(\d|[,-])+"))*IF(RegExpExtract(H12,".$")="m",10^-3,IF(RegExpExtract(H12,".$")="u",10^-6,IF(RegExpExtract(H12,".$")="n",10^-9,IF(RegExpExtract(H12,".$")="p",10^-12,1))))</f>
        <v>0.3</v>
      </c>
      <c r="W12" s="30">
        <f>VALUE(RegExpExtract(I12,"(\d|[,-])+"))*IF(RegExpExtract(I12,".$")="m",10^-3,IF(RegExpExtract(I12,".$")="u",10^-6,IF(RegExpExtract(I12,".$")="n",10^-9,IF(RegExpExtract(I12,".$")="p",10^-12,1))))</f>
        <v>0.4</v>
      </c>
      <c r="X12" s="30">
        <f>VALUE(RegExpExtract(J12,"(\d|[,-])+"))*IF(RegExpExtract(J12,".$")="m",10^-3,IF(RegExpExtract(J12,".$")="u",10^-6,IF(RegExpExtract(J12,".$")="n",10^-9,IF(RegExpExtract(J12,".$")="p",10^-12,1))))</f>
        <v>0.5</v>
      </c>
      <c r="Y12" s="30">
        <f>VALUE(RegExpExtract(K12,"(\d|[,-])+"))*IF(RegExpExtract(K12,".$")="m",10^-3,IF(RegExpExtract(K12,".$")="u",10^-6,IF(RegExpExtract(K12,".$")="n",10^-9,IF(RegExpExtract(K12,".$")="p",10^-12,1))))</f>
        <v>1</v>
      </c>
      <c r="Z12" s="30">
        <f>VALUE(RegExpExtract(L12,"(\d|[,-])+"))*IF(RegExpExtract(L12,".$")="m",10^-3,IF(RegExpExtract(L12,".$")="u",10^-6,IF(RegExpExtract(L12,".$")="n",10^-9,IF(RegExpExtract(L12,".$")="p",10^-12,1))))</f>
        <v>1.5</v>
      </c>
      <c r="AA12" s="31">
        <f>VALUE(RegExpExtract(M12,"(\d|[,-])+"))*IF(RegExpExtract(M12,".$")="m",10^-3,IF(RegExpExtract(M12,".$")="u",10^-6,IF(RegExpExtract(M12,".$")="n",10^-9,IF(RegExpExtract(M12,".$")="p",10^-12,1))))</f>
        <v>2</v>
      </c>
      <c r="AC12" s="38" t="s">
        <v>114</v>
      </c>
      <c r="AD12" s="24">
        <f t="shared" ref="AD3:AZ12" si="3">P12</f>
        <v>0</v>
      </c>
      <c r="AE12" s="24">
        <f t="shared" si="3"/>
        <v>0.02</v>
      </c>
      <c r="AF12" s="24">
        <f t="shared" si="3"/>
        <v>0.04</v>
      </c>
      <c r="AG12" s="24">
        <f t="shared" si="3"/>
        <v>0.08</v>
      </c>
      <c r="AH12" s="24">
        <f t="shared" si="3"/>
        <v>0.16</v>
      </c>
      <c r="AI12" s="24">
        <f t="shared" si="3"/>
        <v>0.2</v>
      </c>
      <c r="AJ12" s="24">
        <f t="shared" si="3"/>
        <v>0.3</v>
      </c>
      <c r="AK12" s="24">
        <f t="shared" si="3"/>
        <v>0.4</v>
      </c>
      <c r="AL12" s="24">
        <f t="shared" si="3"/>
        <v>0.5</v>
      </c>
      <c r="AM12" s="24">
        <f t="shared" si="3"/>
        <v>1</v>
      </c>
      <c r="AN12" s="24">
        <f t="shared" si="3"/>
        <v>1.5</v>
      </c>
      <c r="AO12" s="24">
        <f t="shared" si="3"/>
        <v>2</v>
      </c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</row>
    <row r="13" spans="1:52" ht="15.75" thickBot="1"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C13" s="24"/>
    </row>
    <row r="14" spans="1:52" ht="15.75" thickBot="1">
      <c r="A14" s="6" t="s">
        <v>0</v>
      </c>
      <c r="B14" s="2" t="s">
        <v>106</v>
      </c>
      <c r="C14" s="1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C14" s="24"/>
    </row>
    <row r="15" spans="1:52">
      <c r="A15" s="23">
        <v>1</v>
      </c>
      <c r="B15" s="13" t="s">
        <v>30</v>
      </c>
      <c r="C15" s="14" t="s">
        <v>83</v>
      </c>
      <c r="D15" s="14" t="s">
        <v>64</v>
      </c>
      <c r="E15" s="14" t="s">
        <v>61</v>
      </c>
      <c r="F15" s="14" t="s">
        <v>40</v>
      </c>
      <c r="G15" s="14" t="s">
        <v>37</v>
      </c>
      <c r="H15" s="14" t="s">
        <v>36</v>
      </c>
      <c r="I15" s="14" t="s">
        <v>36</v>
      </c>
      <c r="J15" s="14" t="s">
        <v>36</v>
      </c>
      <c r="K15" s="14" t="s">
        <v>36</v>
      </c>
      <c r="L15" s="14" t="s">
        <v>36</v>
      </c>
      <c r="M15" s="15" t="s">
        <v>36</v>
      </c>
      <c r="N15" s="1"/>
      <c r="O15" s="27">
        <f>VALUE(RegExpExtract(A15,"(\d|[,-])+"))*IF(RegExpExtract(A15,".$")="m",10^-3,IF(RegExpExtract(A15,".$")="u",10^-6,IF(RegExpExtract(A15,".$")="n",10^-9,IF(RegExpExtract(A15,".$")="p",10^-12,1))))</f>
        <v>1</v>
      </c>
      <c r="P15" s="24">
        <f>VALUE(RegExpExtract(B15,"(\d|[,-])+"))*IF(RegExpExtract(B15,".$")="m",10^-3,IF(RegExpExtract(B15,".$")="u",10^-6,IF(RegExpExtract(B15,".$")="n",10^-9,IF(RegExpExtract(B15,".$")="p",10^-12,1))))</f>
        <v>0.77400000000000002</v>
      </c>
      <c r="Q15" s="24">
        <f>VALUE(RegExpExtract(C15,"(\d|[,-])+"))*IF(RegExpExtract(C15,".$")="m",10^-3,IF(RegExpExtract(C15,".$")="u",10^-6,IF(RegExpExtract(C15,".$")="n",10^-9,IF(RegExpExtract(C15,".$")="p",10^-12,1))))</f>
        <v>0.79400000000000004</v>
      </c>
      <c r="R15" s="24">
        <f>VALUE(RegExpExtract(D15,"(\d|[,-])+"))*IF(RegExpExtract(D15,".$")="m",10^-3,IF(RegExpExtract(D15,".$")="u",10^-6,IF(RegExpExtract(D15,".$")="n",10^-9,IF(RegExpExtract(D15,".$")="p",10^-12,1))))</f>
        <v>0.81300000000000006</v>
      </c>
      <c r="S15" s="24">
        <f>VALUE(RegExpExtract(E15,"(\d|[,-])+"))*IF(RegExpExtract(E15,".$")="m",10^-3,IF(RegExpExtract(E15,".$")="u",10^-6,IF(RegExpExtract(E15,".$")="n",10^-9,IF(RegExpExtract(E15,".$")="p",10^-12,1))))</f>
        <v>0.85099999999999998</v>
      </c>
      <c r="T15" s="24">
        <f>VALUE(RegExpExtract(F15,"(\d|[,-])+"))*IF(RegExpExtract(F15,".$")="m",10^-3,IF(RegExpExtract(F15,".$")="u",10^-6,IF(RegExpExtract(F15,".$")="n",10^-9,IF(RegExpExtract(F15,".$")="p",10^-12,1))))</f>
        <v>0.88800000000000001</v>
      </c>
      <c r="U15" s="24">
        <f>VALUE(RegExpExtract(G15,"(\d|[,-])+"))*IF(RegExpExtract(G15,".$")="m",10^-3,IF(RegExpExtract(G15,".$")="u",10^-6,IF(RegExpExtract(G15,".$")="n",10^-9,IF(RegExpExtract(G15,".$")="p",10^-12,1))))</f>
        <v>0.89200000000000002</v>
      </c>
      <c r="V15" s="24">
        <f>VALUE(RegExpExtract(H15,"(\d|[,-])+"))*IF(RegExpExtract(H15,".$")="m",10^-3,IF(RegExpExtract(H15,".$")="u",10^-6,IF(RegExpExtract(H15,".$")="n",10^-9,IF(RegExpExtract(H15,".$")="p",10^-12,1))))</f>
        <v>0.89300000000000002</v>
      </c>
      <c r="W15" s="24">
        <f>VALUE(RegExpExtract(I15,"(\d|[,-])+"))*IF(RegExpExtract(I15,".$")="m",10^-3,IF(RegExpExtract(I15,".$")="u",10^-6,IF(RegExpExtract(I15,".$")="n",10^-9,IF(RegExpExtract(I15,".$")="p",10^-12,1))))</f>
        <v>0.89300000000000002</v>
      </c>
      <c r="X15" s="24">
        <f>VALUE(RegExpExtract(J15,"(\d|[,-])+"))*IF(RegExpExtract(J15,".$")="m",10^-3,IF(RegExpExtract(J15,".$")="u",10^-6,IF(RegExpExtract(J15,".$")="n",10^-9,IF(RegExpExtract(J15,".$")="p",10^-12,1))))</f>
        <v>0.89300000000000002</v>
      </c>
      <c r="Y15" s="24">
        <f>VALUE(RegExpExtract(K15,"(\d|[,-])+"))*IF(RegExpExtract(K15,".$")="m",10^-3,IF(RegExpExtract(K15,".$")="u",10^-6,IF(RegExpExtract(K15,".$")="n",10^-9,IF(RegExpExtract(K15,".$")="p",10^-12,1))))</f>
        <v>0.89300000000000002</v>
      </c>
      <c r="Z15" s="24">
        <f>VALUE(RegExpExtract(L15,"(\d|[,-])+"))*IF(RegExpExtract(L15,".$")="m",10^-3,IF(RegExpExtract(L15,".$")="u",10^-6,IF(RegExpExtract(L15,".$")="n",10^-9,IF(RegExpExtract(L15,".$")="p",10^-12,1))))</f>
        <v>0.89300000000000002</v>
      </c>
      <c r="AA15" s="24">
        <f>VALUE(RegExpExtract(M15,"(\d|[,-])+"))*IF(RegExpExtract(M15,".$")="m",10^-3,IF(RegExpExtract(M15,".$")="u",10^-6,IF(RegExpExtract(M15,".$")="n",10^-9,IF(RegExpExtract(M15,".$")="p",10^-12,1))))</f>
        <v>0.89300000000000002</v>
      </c>
      <c r="AC15" s="24">
        <f t="shared" si="1"/>
        <v>1</v>
      </c>
      <c r="AD15" s="24">
        <f t="shared" si="1"/>
        <v>0.77400000000000002</v>
      </c>
      <c r="AE15" s="24">
        <f t="shared" ref="AE15:AE23" si="4">Q15</f>
        <v>0.79400000000000004</v>
      </c>
      <c r="AF15" s="24">
        <f t="shared" ref="AF15:AF23" si="5">R15</f>
        <v>0.81300000000000006</v>
      </c>
      <c r="AG15" s="24">
        <f t="shared" ref="AG15:AG23" si="6">S15</f>
        <v>0.85099999999999998</v>
      </c>
      <c r="AH15" s="24">
        <f t="shared" ref="AH15:AH23" si="7">T15</f>
        <v>0.88800000000000001</v>
      </c>
      <c r="AI15" s="24">
        <f t="shared" ref="AI15:AI23" si="8">U15</f>
        <v>0.89200000000000002</v>
      </c>
      <c r="AJ15" s="24">
        <f t="shared" ref="AJ15:AJ23" si="9">V15</f>
        <v>0.89300000000000002</v>
      </c>
      <c r="AK15" s="24">
        <f t="shared" ref="AK15:AK23" si="10">W15</f>
        <v>0.89300000000000002</v>
      </c>
      <c r="AL15" s="24">
        <f t="shared" ref="AL15:AL23" si="11">X15</f>
        <v>0.89300000000000002</v>
      </c>
      <c r="AM15" s="24">
        <f t="shared" ref="AM15:AM23" si="12">Y15</f>
        <v>0.89300000000000002</v>
      </c>
      <c r="AN15" s="24">
        <f t="shared" ref="AN15:AN23" si="13">Z15</f>
        <v>0.89300000000000002</v>
      </c>
      <c r="AO15" s="24">
        <f t="shared" ref="AO15:AO23" si="14">AA15</f>
        <v>0.89300000000000002</v>
      </c>
    </row>
    <row r="16" spans="1:52">
      <c r="A16" s="11" t="s">
        <v>14</v>
      </c>
      <c r="B16" s="16" t="s">
        <v>26</v>
      </c>
      <c r="C16" s="17" t="s">
        <v>81</v>
      </c>
      <c r="D16" s="17" t="s">
        <v>65</v>
      </c>
      <c r="E16" s="17" t="s">
        <v>60</v>
      </c>
      <c r="F16" s="17" t="s">
        <v>41</v>
      </c>
      <c r="G16" s="17" t="s">
        <v>34</v>
      </c>
      <c r="H16" s="17" t="s">
        <v>35</v>
      </c>
      <c r="I16" s="17" t="s">
        <v>35</v>
      </c>
      <c r="J16" s="17" t="s">
        <v>35</v>
      </c>
      <c r="K16" s="17" t="s">
        <v>35</v>
      </c>
      <c r="L16" s="17" t="s">
        <v>35</v>
      </c>
      <c r="M16" s="18" t="s">
        <v>35</v>
      </c>
      <c r="N16" s="1"/>
      <c r="O16" s="28">
        <f>VALUE(RegExpExtract(A16,"(\d|[,-])+"))*IF(RegExpExtract(A16,".$")="m",10^-3,IF(RegExpExtract(A16,".$")="u",10^-6,IF(RegExpExtract(A16,".$")="n",10^-9,IF(RegExpExtract(A16,".$")="p",10^-12,1))))</f>
        <v>0.1</v>
      </c>
      <c r="P16" s="24">
        <f>VALUE(RegExpExtract(B16,"(\d|[,-])+"))*IF(RegExpExtract(B16,".$")="m",10^-3,IF(RegExpExtract(B16,".$")="u",10^-6,IF(RegExpExtract(B16,".$")="n",10^-9,IF(RegExpExtract(B16,".$")="p",10^-12,1))))</f>
        <v>0.71399999999999997</v>
      </c>
      <c r="Q16" s="24">
        <f>VALUE(RegExpExtract(C16,"(\d|[,-])+"))*IF(RegExpExtract(C16,".$")="m",10^-3,IF(RegExpExtract(C16,".$")="u",10^-6,IF(RegExpExtract(C16,".$")="n",10^-9,IF(RegExpExtract(C16,".$")="p",10^-12,1))))</f>
        <v>0.73399999999999999</v>
      </c>
      <c r="R16" s="24">
        <f>VALUE(RegExpExtract(D16,"(\d|[,-])+"))*IF(RegExpExtract(D16,".$")="m",10^-3,IF(RegExpExtract(D16,".$")="u",10^-6,IF(RegExpExtract(D16,".$")="n",10^-9,IF(RegExpExtract(D16,".$")="p",10^-12,1))))</f>
        <v>0.753</v>
      </c>
      <c r="S16" s="24">
        <f>VALUE(RegExpExtract(E16,"(\d|[,-])+"))*IF(RegExpExtract(E16,".$")="m",10^-3,IF(RegExpExtract(E16,".$")="u",10^-6,IF(RegExpExtract(E16,".$")="n",10^-9,IF(RegExpExtract(E16,".$")="p",10^-12,1))))</f>
        <v>0.78900000000000003</v>
      </c>
      <c r="T16" s="24">
        <f>VALUE(RegExpExtract(F16,"(\d|[,-])+"))*IF(RegExpExtract(F16,".$")="m",10^-3,IF(RegExpExtract(F16,".$")="u",10^-6,IF(RegExpExtract(F16,".$")="n",10^-9,IF(RegExpExtract(F16,".$")="p",10^-12,1))))</f>
        <v>0.82300000000000006</v>
      </c>
      <c r="U16" s="24">
        <f>VALUE(RegExpExtract(G16,"(\d|[,-])+"))*IF(RegExpExtract(G16,".$")="m",10^-3,IF(RegExpExtract(G16,".$")="u",10^-6,IF(RegExpExtract(G16,".$")="n",10^-9,IF(RegExpExtract(G16,".$")="p",10^-12,1))))</f>
        <v>0.83299999999999996</v>
      </c>
      <c r="V16" s="24">
        <f>VALUE(RegExpExtract(H16,"(\d|[,-])+"))*IF(RegExpExtract(H16,".$")="m",10^-3,IF(RegExpExtract(H16,".$")="u",10^-6,IF(RegExpExtract(H16,".$")="n",10^-9,IF(RegExpExtract(H16,".$")="p",10^-12,1))))</f>
        <v>0.83399999999999996</v>
      </c>
      <c r="W16" s="24">
        <f>VALUE(RegExpExtract(I16,"(\d|[,-])+"))*IF(RegExpExtract(I16,".$")="m",10^-3,IF(RegExpExtract(I16,".$")="u",10^-6,IF(RegExpExtract(I16,".$")="n",10^-9,IF(RegExpExtract(I16,".$")="p",10^-12,1))))</f>
        <v>0.83399999999999996</v>
      </c>
      <c r="X16" s="24">
        <f>VALUE(RegExpExtract(J16,"(\d|[,-])+"))*IF(RegExpExtract(J16,".$")="m",10^-3,IF(RegExpExtract(J16,".$")="u",10^-6,IF(RegExpExtract(J16,".$")="n",10^-9,IF(RegExpExtract(J16,".$")="p",10^-12,1))))</f>
        <v>0.83399999999999996</v>
      </c>
      <c r="Y16" s="24">
        <f>VALUE(RegExpExtract(K16,"(\d|[,-])+"))*IF(RegExpExtract(K16,".$")="m",10^-3,IF(RegExpExtract(K16,".$")="u",10^-6,IF(RegExpExtract(K16,".$")="n",10^-9,IF(RegExpExtract(K16,".$")="p",10^-12,1))))</f>
        <v>0.83399999999999996</v>
      </c>
      <c r="Z16" s="24">
        <f>VALUE(RegExpExtract(L16,"(\d|[,-])+"))*IF(RegExpExtract(L16,".$")="m",10^-3,IF(RegExpExtract(L16,".$")="u",10^-6,IF(RegExpExtract(L16,".$")="n",10^-9,IF(RegExpExtract(L16,".$")="p",10^-12,1))))</f>
        <v>0.83399999999999996</v>
      </c>
      <c r="AA16" s="24">
        <f>VALUE(RegExpExtract(M16,"(\d|[,-])+"))*IF(RegExpExtract(M16,".$")="m",10^-3,IF(RegExpExtract(M16,".$")="u",10^-6,IF(RegExpExtract(M16,".$")="n",10^-9,IF(RegExpExtract(M16,".$")="p",10^-12,1))))</f>
        <v>0.83399999999999996</v>
      </c>
      <c r="AC16" s="24">
        <f t="shared" si="1"/>
        <v>0.1</v>
      </c>
      <c r="AD16" s="24">
        <f t="shared" si="1"/>
        <v>0.71399999999999997</v>
      </c>
      <c r="AE16" s="24">
        <f t="shared" si="4"/>
        <v>0.73399999999999999</v>
      </c>
      <c r="AF16" s="24">
        <f t="shared" si="5"/>
        <v>0.753</v>
      </c>
      <c r="AG16" s="24">
        <f t="shared" si="6"/>
        <v>0.78900000000000003</v>
      </c>
      <c r="AH16" s="24">
        <f t="shared" si="7"/>
        <v>0.82300000000000006</v>
      </c>
      <c r="AI16" s="24">
        <f t="shared" si="8"/>
        <v>0.83299999999999996</v>
      </c>
      <c r="AJ16" s="24">
        <f t="shared" si="9"/>
        <v>0.83399999999999996</v>
      </c>
      <c r="AK16" s="24">
        <f t="shared" si="10"/>
        <v>0.83399999999999996</v>
      </c>
      <c r="AL16" s="24">
        <f t="shared" si="11"/>
        <v>0.83399999999999996</v>
      </c>
      <c r="AM16" s="24">
        <f t="shared" si="12"/>
        <v>0.83399999999999996</v>
      </c>
      <c r="AN16" s="24">
        <f t="shared" si="13"/>
        <v>0.83399999999999996</v>
      </c>
      <c r="AO16" s="24">
        <f t="shared" si="14"/>
        <v>0.83399999999999996</v>
      </c>
    </row>
    <row r="17" spans="1:41">
      <c r="A17" s="11" t="s">
        <v>13</v>
      </c>
      <c r="B17" s="16" t="s">
        <v>22</v>
      </c>
      <c r="C17" s="17" t="s">
        <v>80</v>
      </c>
      <c r="D17" s="17" t="s">
        <v>68</v>
      </c>
      <c r="E17" s="17" t="s">
        <v>56</v>
      </c>
      <c r="F17" s="17" t="s">
        <v>44</v>
      </c>
      <c r="G17" s="17" t="s">
        <v>29</v>
      </c>
      <c r="H17" s="17" t="s">
        <v>30</v>
      </c>
      <c r="I17" s="17" t="s">
        <v>30</v>
      </c>
      <c r="J17" s="17" t="s">
        <v>30</v>
      </c>
      <c r="K17" s="17" t="s">
        <v>30</v>
      </c>
      <c r="L17" s="17" t="s">
        <v>30</v>
      </c>
      <c r="M17" s="18" t="s">
        <v>30</v>
      </c>
      <c r="N17" s="1"/>
      <c r="O17" s="28">
        <f>VALUE(RegExpExtract(A17,"(\d|[,-])+"))*IF(RegExpExtract(A17,".$")="m",10^-3,IF(RegExpExtract(A17,".$")="u",10^-6,IF(RegExpExtract(A17,".$")="n",10^-9,IF(RegExpExtract(A17,".$")="p",10^-12,1))))</f>
        <v>0.01</v>
      </c>
      <c r="P17" s="24">
        <f>VALUE(RegExpExtract(B17,"(\d|[,-])+"))*IF(RegExpExtract(B17,".$")="m",10^-3,IF(RegExpExtract(B17,".$")="u",10^-6,IF(RegExpExtract(B17,".$")="n",10^-9,IF(RegExpExtract(B17,".$")="p",10^-12,1))))</f>
        <v>0.65400000000000003</v>
      </c>
      <c r="Q17" s="24">
        <f>VALUE(RegExpExtract(C17,"(\d|[,-])+"))*IF(RegExpExtract(C17,".$")="m",10^-3,IF(RegExpExtract(C17,".$")="u",10^-6,IF(RegExpExtract(C17,".$")="n",10^-9,IF(RegExpExtract(C17,".$")="p",10^-12,1))))</f>
        <v>0.67400000000000004</v>
      </c>
      <c r="R17" s="24">
        <f>VALUE(RegExpExtract(D17,"(\d|[,-])+"))*IF(RegExpExtract(D17,".$")="m",10^-3,IF(RegExpExtract(D17,".$")="u",10^-6,IF(RegExpExtract(D17,".$")="n",10^-9,IF(RegExpExtract(D17,".$")="p",10^-12,1))))</f>
        <v>0.69400000000000006</v>
      </c>
      <c r="S17" s="24">
        <f>VALUE(RegExpExtract(E17,"(\d|[,-])+"))*IF(RegExpExtract(E17,".$")="m",10^-3,IF(RegExpExtract(E17,".$")="u",10^-6,IF(RegExpExtract(E17,".$")="n",10^-9,IF(RegExpExtract(E17,".$")="p",10^-12,1))))</f>
        <v>0.73</v>
      </c>
      <c r="T17" s="24">
        <f>VALUE(RegExpExtract(F17,"(\d|[,-])+"))*IF(RegExpExtract(F17,".$")="m",10^-3,IF(RegExpExtract(F17,".$")="u",10^-6,IF(RegExpExtract(F17,".$")="n",10^-9,IF(RegExpExtract(F17,".$")="p",10^-12,1))))</f>
        <v>0.76900000000000002</v>
      </c>
      <c r="U17" s="24">
        <f>VALUE(RegExpExtract(G17,"(\d|[,-])+"))*IF(RegExpExtract(G17,".$")="m",10^-3,IF(RegExpExtract(G17,".$")="u",10^-6,IF(RegExpExtract(G17,".$")="n",10^-9,IF(RegExpExtract(G17,".$")="p",10^-12,1))))</f>
        <v>0.77300000000000002</v>
      </c>
      <c r="V17" s="24">
        <f>VALUE(RegExpExtract(H17,"(\d|[,-])+"))*IF(RegExpExtract(H17,".$")="m",10^-3,IF(RegExpExtract(H17,".$")="u",10^-6,IF(RegExpExtract(H17,".$")="n",10^-9,IF(RegExpExtract(H17,".$")="p",10^-12,1))))</f>
        <v>0.77400000000000002</v>
      </c>
      <c r="W17" s="24">
        <f>VALUE(RegExpExtract(I17,"(\d|[,-])+"))*IF(RegExpExtract(I17,".$")="m",10^-3,IF(RegExpExtract(I17,".$")="u",10^-6,IF(RegExpExtract(I17,".$")="n",10^-9,IF(RegExpExtract(I17,".$")="p",10^-12,1))))</f>
        <v>0.77400000000000002</v>
      </c>
      <c r="X17" s="24">
        <f>VALUE(RegExpExtract(J17,"(\d|[,-])+"))*IF(RegExpExtract(J17,".$")="m",10^-3,IF(RegExpExtract(J17,".$")="u",10^-6,IF(RegExpExtract(J17,".$")="n",10^-9,IF(RegExpExtract(J17,".$")="p",10^-12,1))))</f>
        <v>0.77400000000000002</v>
      </c>
      <c r="Y17" s="24">
        <f>VALUE(RegExpExtract(K17,"(\d|[,-])+"))*IF(RegExpExtract(K17,".$")="m",10^-3,IF(RegExpExtract(K17,".$")="u",10^-6,IF(RegExpExtract(K17,".$")="n",10^-9,IF(RegExpExtract(K17,".$")="p",10^-12,1))))</f>
        <v>0.77400000000000002</v>
      </c>
      <c r="Z17" s="24">
        <f>VALUE(RegExpExtract(L17,"(\d|[,-])+"))*IF(RegExpExtract(L17,".$")="m",10^-3,IF(RegExpExtract(L17,".$")="u",10^-6,IF(RegExpExtract(L17,".$")="n",10^-9,IF(RegExpExtract(L17,".$")="p",10^-12,1))))</f>
        <v>0.77400000000000002</v>
      </c>
      <c r="AA17" s="24">
        <f>VALUE(RegExpExtract(M17,"(\d|[,-])+"))*IF(RegExpExtract(M17,".$")="m",10^-3,IF(RegExpExtract(M17,".$")="u",10^-6,IF(RegExpExtract(M17,".$")="n",10^-9,IF(RegExpExtract(M17,".$")="p",10^-12,1))))</f>
        <v>0.77400000000000002</v>
      </c>
      <c r="AC17" s="24">
        <f t="shared" si="1"/>
        <v>0.01</v>
      </c>
      <c r="AD17" s="24">
        <f t="shared" si="1"/>
        <v>0.65400000000000003</v>
      </c>
      <c r="AE17" s="24">
        <f t="shared" si="4"/>
        <v>0.67400000000000004</v>
      </c>
      <c r="AF17" s="24">
        <f t="shared" si="5"/>
        <v>0.69400000000000006</v>
      </c>
      <c r="AG17" s="24">
        <f t="shared" si="6"/>
        <v>0.73</v>
      </c>
      <c r="AH17" s="24">
        <f t="shared" si="7"/>
        <v>0.76900000000000002</v>
      </c>
      <c r="AI17" s="24">
        <f t="shared" si="8"/>
        <v>0.77300000000000002</v>
      </c>
      <c r="AJ17" s="24">
        <f t="shared" si="9"/>
        <v>0.77400000000000002</v>
      </c>
      <c r="AK17" s="24">
        <f t="shared" si="10"/>
        <v>0.77400000000000002</v>
      </c>
      <c r="AL17" s="24">
        <f t="shared" si="11"/>
        <v>0.77400000000000002</v>
      </c>
      <c r="AM17" s="24">
        <f t="shared" si="12"/>
        <v>0.77400000000000002</v>
      </c>
      <c r="AN17" s="24">
        <f t="shared" si="13"/>
        <v>0.77400000000000002</v>
      </c>
      <c r="AO17" s="24">
        <f t="shared" si="14"/>
        <v>0.77400000000000002</v>
      </c>
    </row>
    <row r="18" spans="1:41">
      <c r="A18" s="11" t="s">
        <v>12</v>
      </c>
      <c r="B18" s="16" t="s">
        <v>88</v>
      </c>
      <c r="C18" s="17" t="s">
        <v>78</v>
      </c>
      <c r="D18" s="17" t="s">
        <v>69</v>
      </c>
      <c r="E18" s="17" t="s">
        <v>55</v>
      </c>
      <c r="F18" s="17" t="s">
        <v>46</v>
      </c>
      <c r="G18" s="17" t="s">
        <v>25</v>
      </c>
      <c r="H18" s="17" t="s">
        <v>26</v>
      </c>
      <c r="I18" s="17" t="s">
        <v>26</v>
      </c>
      <c r="J18" s="17" t="s">
        <v>26</v>
      </c>
      <c r="K18" s="17" t="s">
        <v>26</v>
      </c>
      <c r="L18" s="17" t="s">
        <v>26</v>
      </c>
      <c r="M18" s="18" t="s">
        <v>26</v>
      </c>
      <c r="N18" s="1"/>
      <c r="O18" s="28">
        <f>VALUE(RegExpExtract(A18,"(\d|[,-])+"))*IF(RegExpExtract(A18,".$")="m",10^-3,IF(RegExpExtract(A18,".$")="u",10^-6,IF(RegExpExtract(A18,".$")="n",10^-9,IF(RegExpExtract(A18,".$")="p",10^-12,1))))</f>
        <v>1E-3</v>
      </c>
      <c r="P18" s="24">
        <f>VALUE(RegExpExtract(B18,"(\d|[,-])+"))*IF(RegExpExtract(B18,".$")="m",10^-3,IF(RegExpExtract(B18,".$")="u",10^-6,IF(RegExpExtract(B18,".$")="n",10^-9,IF(RegExpExtract(B18,".$")="p",10^-12,1))))</f>
        <v>0.59599999999999997</v>
      </c>
      <c r="Q18" s="24">
        <f>VALUE(RegExpExtract(C18,"(\d|[,-])+"))*IF(RegExpExtract(C18,".$")="m",10^-3,IF(RegExpExtract(C18,".$")="u",10^-6,IF(RegExpExtract(C18,".$")="n",10^-9,IF(RegExpExtract(C18,".$")="p",10^-12,1))))</f>
        <v>0.61499999999999999</v>
      </c>
      <c r="R18" s="24">
        <f>VALUE(RegExpExtract(D18,"(\d|[,-])+"))*IF(RegExpExtract(D18,".$")="m",10^-3,IF(RegExpExtract(D18,".$")="u",10^-6,IF(RegExpExtract(D18,".$")="n",10^-9,IF(RegExpExtract(D18,".$")="p",10^-12,1))))</f>
        <v>0.63400000000000001</v>
      </c>
      <c r="S18" s="24">
        <f>VALUE(RegExpExtract(E18,"(\d|[,-])+"))*IF(RegExpExtract(E18,".$")="m",10^-3,IF(RegExpExtract(E18,".$")="u",10^-6,IF(RegExpExtract(E18,".$")="n",10^-9,IF(RegExpExtract(E18,".$")="p",10^-12,1))))</f>
        <v>0.67</v>
      </c>
      <c r="T18" s="24">
        <f>VALUE(RegExpExtract(F18,"(\d|[,-])+"))*IF(RegExpExtract(F18,".$")="m",10^-3,IF(RegExpExtract(F18,".$")="u",10^-6,IF(RegExpExtract(F18,".$")="n",10^-9,IF(RegExpExtract(F18,".$")="p",10^-12,1))))</f>
        <v>0.70899999999999996</v>
      </c>
      <c r="U18" s="24">
        <f>VALUE(RegExpExtract(G18,"(\d|[,-])+"))*IF(RegExpExtract(G18,".$")="m",10^-3,IF(RegExpExtract(G18,".$")="u",10^-6,IF(RegExpExtract(G18,".$")="n",10^-9,IF(RegExpExtract(G18,".$")="p",10^-12,1))))</f>
        <v>0.71299999999999997</v>
      </c>
      <c r="V18" s="24">
        <f>VALUE(RegExpExtract(H18,"(\d|[,-])+"))*IF(RegExpExtract(H18,".$")="m",10^-3,IF(RegExpExtract(H18,".$")="u",10^-6,IF(RegExpExtract(H18,".$")="n",10^-9,IF(RegExpExtract(H18,".$")="p",10^-12,1))))</f>
        <v>0.71399999999999997</v>
      </c>
      <c r="W18" s="24">
        <f>VALUE(RegExpExtract(I18,"(\d|[,-])+"))*IF(RegExpExtract(I18,".$")="m",10^-3,IF(RegExpExtract(I18,".$")="u",10^-6,IF(RegExpExtract(I18,".$")="n",10^-9,IF(RegExpExtract(I18,".$")="p",10^-12,1))))</f>
        <v>0.71399999999999997</v>
      </c>
      <c r="X18" s="24">
        <f>VALUE(RegExpExtract(J18,"(\d|[,-])+"))*IF(RegExpExtract(J18,".$")="m",10^-3,IF(RegExpExtract(J18,".$")="u",10^-6,IF(RegExpExtract(J18,".$")="n",10^-9,IF(RegExpExtract(J18,".$")="p",10^-12,1))))</f>
        <v>0.71399999999999997</v>
      </c>
      <c r="Y18" s="24">
        <f>VALUE(RegExpExtract(K18,"(\d|[,-])+"))*IF(RegExpExtract(K18,".$")="m",10^-3,IF(RegExpExtract(K18,".$")="u",10^-6,IF(RegExpExtract(K18,".$")="n",10^-9,IF(RegExpExtract(K18,".$")="p",10^-12,1))))</f>
        <v>0.71399999999999997</v>
      </c>
      <c r="Z18" s="24">
        <f>VALUE(RegExpExtract(L18,"(\d|[,-])+"))*IF(RegExpExtract(L18,".$")="m",10^-3,IF(RegExpExtract(L18,".$")="u",10^-6,IF(RegExpExtract(L18,".$")="n",10^-9,IF(RegExpExtract(L18,".$")="p",10^-12,1))))</f>
        <v>0.71399999999999997</v>
      </c>
      <c r="AA18" s="24">
        <f>VALUE(RegExpExtract(M18,"(\d|[,-])+"))*IF(RegExpExtract(M18,".$")="m",10^-3,IF(RegExpExtract(M18,".$")="u",10^-6,IF(RegExpExtract(M18,".$")="n",10^-9,IF(RegExpExtract(M18,".$")="p",10^-12,1))))</f>
        <v>0.71399999999999997</v>
      </c>
      <c r="AC18" s="24">
        <f t="shared" si="1"/>
        <v>1E-3</v>
      </c>
      <c r="AD18" s="24">
        <f t="shared" si="1"/>
        <v>0.59599999999999997</v>
      </c>
      <c r="AE18" s="24">
        <f t="shared" si="4"/>
        <v>0.61499999999999999</v>
      </c>
      <c r="AF18" s="24">
        <f t="shared" si="5"/>
        <v>0.63400000000000001</v>
      </c>
      <c r="AG18" s="24">
        <f t="shared" si="6"/>
        <v>0.67</v>
      </c>
      <c r="AH18" s="24">
        <f t="shared" si="7"/>
        <v>0.70899999999999996</v>
      </c>
      <c r="AI18" s="24">
        <f t="shared" si="8"/>
        <v>0.71299999999999997</v>
      </c>
      <c r="AJ18" s="24">
        <f t="shared" si="9"/>
        <v>0.71399999999999997</v>
      </c>
      <c r="AK18" s="24">
        <f t="shared" si="10"/>
        <v>0.71399999999999997</v>
      </c>
      <c r="AL18" s="24">
        <f t="shared" si="11"/>
        <v>0.71399999999999997</v>
      </c>
      <c r="AM18" s="24">
        <f t="shared" si="12"/>
        <v>0.71399999999999997</v>
      </c>
      <c r="AN18" s="24">
        <f t="shared" si="13"/>
        <v>0.71399999999999997</v>
      </c>
      <c r="AO18" s="24">
        <f t="shared" si="14"/>
        <v>0.71399999999999997</v>
      </c>
    </row>
    <row r="19" spans="1:41">
      <c r="A19" s="11" t="s">
        <v>11</v>
      </c>
      <c r="B19" s="16" t="s">
        <v>5</v>
      </c>
      <c r="C19" s="17" t="s">
        <v>77</v>
      </c>
      <c r="D19" s="17" t="s">
        <v>71</v>
      </c>
      <c r="E19" s="17" t="s">
        <v>53</v>
      </c>
      <c r="F19" s="17" t="s">
        <v>48</v>
      </c>
      <c r="G19" s="17" t="s">
        <v>22</v>
      </c>
      <c r="H19" s="17" t="s">
        <v>23</v>
      </c>
      <c r="I19" s="17" t="s">
        <v>23</v>
      </c>
      <c r="J19" s="17" t="s">
        <v>23</v>
      </c>
      <c r="K19" s="17" t="s">
        <v>23</v>
      </c>
      <c r="L19" s="17" t="s">
        <v>23</v>
      </c>
      <c r="M19" s="18" t="s">
        <v>23</v>
      </c>
      <c r="N19" s="1"/>
      <c r="O19" s="28">
        <f>VALUE(RegExpExtract(A19,"(\d|[,-])+"))*IF(RegExpExtract(A19,".$")="m",10^-3,IF(RegExpExtract(A19,".$")="u",10^-6,IF(RegExpExtract(A19,".$")="n",10^-9,IF(RegExpExtract(A19,".$")="p",10^-12,1))))</f>
        <v>9.9999999999999991E-5</v>
      </c>
      <c r="P19" s="24">
        <f>VALUE(RegExpExtract(B19,"(\d|[,-])+"))*IF(RegExpExtract(B19,".$")="m",10^-3,IF(RegExpExtract(B19,".$")="u",10^-6,IF(RegExpExtract(B19,".$")="n",10^-9,IF(RegExpExtract(B19,".$")="p",10^-12,1))))</f>
        <v>0.53500000000000003</v>
      </c>
      <c r="Q19" s="24">
        <f>VALUE(RegExpExtract(C19,"(\d|[,-])+"))*IF(RegExpExtract(C19,".$")="m",10^-3,IF(RegExpExtract(C19,".$")="u",10^-6,IF(RegExpExtract(C19,".$")="n",10^-9,IF(RegExpExtract(C19,".$")="p",10^-12,1))))</f>
        <v>0.55500000000000005</v>
      </c>
      <c r="R19" s="24">
        <f>VALUE(RegExpExtract(D19,"(\d|[,-])+"))*IF(RegExpExtract(D19,".$")="m",10^-3,IF(RegExpExtract(D19,".$")="u",10^-6,IF(RegExpExtract(D19,".$")="n",10^-9,IF(RegExpExtract(D19,".$")="p",10^-12,1))))</f>
        <v>0.57400000000000007</v>
      </c>
      <c r="S19" s="24">
        <f>VALUE(RegExpExtract(E19,"(\d|[,-])+"))*IF(RegExpExtract(E19,".$")="m",10^-3,IF(RegExpExtract(E19,".$")="u",10^-6,IF(RegExpExtract(E19,".$")="n",10^-9,IF(RegExpExtract(E19,".$")="p",10^-12,1))))</f>
        <v>0.61</v>
      </c>
      <c r="T19" s="24">
        <f>VALUE(RegExpExtract(F19,"(\d|[,-])+"))*IF(RegExpExtract(F19,".$")="m",10^-3,IF(RegExpExtract(F19,".$")="u",10^-6,IF(RegExpExtract(F19,".$")="n",10^-9,IF(RegExpExtract(F19,".$")="p",10^-12,1))))</f>
        <v>0.65</v>
      </c>
      <c r="U19" s="24">
        <f>VALUE(RegExpExtract(G19,"(\d|[,-])+"))*IF(RegExpExtract(G19,".$")="m",10^-3,IF(RegExpExtract(G19,".$")="u",10^-6,IF(RegExpExtract(G19,".$")="n",10^-9,IF(RegExpExtract(G19,".$")="p",10^-12,1))))</f>
        <v>0.65400000000000003</v>
      </c>
      <c r="V19" s="24">
        <f>VALUE(RegExpExtract(H19,"(\d|[,-])+"))*IF(RegExpExtract(H19,".$")="m",10^-3,IF(RegExpExtract(H19,".$")="u",10^-6,IF(RegExpExtract(H19,".$")="n",10^-9,IF(RegExpExtract(H19,".$")="p",10^-12,1))))</f>
        <v>0.65500000000000003</v>
      </c>
      <c r="W19" s="24">
        <f>VALUE(RegExpExtract(I19,"(\d|[,-])+"))*IF(RegExpExtract(I19,".$")="m",10^-3,IF(RegExpExtract(I19,".$")="u",10^-6,IF(RegExpExtract(I19,".$")="n",10^-9,IF(RegExpExtract(I19,".$")="p",10^-12,1))))</f>
        <v>0.65500000000000003</v>
      </c>
      <c r="X19" s="24">
        <f>VALUE(RegExpExtract(J19,"(\d|[,-])+"))*IF(RegExpExtract(J19,".$")="m",10^-3,IF(RegExpExtract(J19,".$")="u",10^-6,IF(RegExpExtract(J19,".$")="n",10^-9,IF(RegExpExtract(J19,".$")="p",10^-12,1))))</f>
        <v>0.65500000000000003</v>
      </c>
      <c r="Y19" s="24">
        <f>VALUE(RegExpExtract(K19,"(\d|[,-])+"))*IF(RegExpExtract(K19,".$")="m",10^-3,IF(RegExpExtract(K19,".$")="u",10^-6,IF(RegExpExtract(K19,".$")="n",10^-9,IF(RegExpExtract(K19,".$")="p",10^-12,1))))</f>
        <v>0.65500000000000003</v>
      </c>
      <c r="Z19" s="24">
        <f>VALUE(RegExpExtract(L19,"(\d|[,-])+"))*IF(RegExpExtract(L19,".$")="m",10^-3,IF(RegExpExtract(L19,".$")="u",10^-6,IF(RegExpExtract(L19,".$")="n",10^-9,IF(RegExpExtract(L19,".$")="p",10^-12,1))))</f>
        <v>0.65500000000000003</v>
      </c>
      <c r="AA19" s="24">
        <f>VALUE(RegExpExtract(M19,"(\d|[,-])+"))*IF(RegExpExtract(M19,".$")="m",10^-3,IF(RegExpExtract(M19,".$")="u",10^-6,IF(RegExpExtract(M19,".$")="n",10^-9,IF(RegExpExtract(M19,".$")="p",10^-12,1))))</f>
        <v>0.65500000000000003</v>
      </c>
      <c r="AC19" s="24">
        <f t="shared" si="1"/>
        <v>9.9999999999999991E-5</v>
      </c>
      <c r="AD19" s="24">
        <f t="shared" si="1"/>
        <v>0.53500000000000003</v>
      </c>
      <c r="AE19" s="24">
        <f t="shared" si="4"/>
        <v>0.55500000000000005</v>
      </c>
      <c r="AF19" s="24">
        <f t="shared" si="5"/>
        <v>0.57400000000000007</v>
      </c>
      <c r="AG19" s="24">
        <f t="shared" si="6"/>
        <v>0.61</v>
      </c>
      <c r="AH19" s="24">
        <f t="shared" si="7"/>
        <v>0.65</v>
      </c>
      <c r="AI19" s="24">
        <f t="shared" si="8"/>
        <v>0.65400000000000003</v>
      </c>
      <c r="AJ19" s="24">
        <f t="shared" si="9"/>
        <v>0.65500000000000003</v>
      </c>
      <c r="AK19" s="24">
        <f t="shared" si="10"/>
        <v>0.65500000000000003</v>
      </c>
      <c r="AL19" s="24">
        <f t="shared" si="11"/>
        <v>0.65500000000000003</v>
      </c>
      <c r="AM19" s="24">
        <f t="shared" si="12"/>
        <v>0.65500000000000003</v>
      </c>
      <c r="AN19" s="24">
        <f t="shared" si="13"/>
        <v>0.65500000000000003</v>
      </c>
      <c r="AO19" s="24">
        <f t="shared" si="14"/>
        <v>0.65500000000000003</v>
      </c>
    </row>
    <row r="20" spans="1:41">
      <c r="A20" s="11" t="s">
        <v>10</v>
      </c>
      <c r="B20" s="16" t="s">
        <v>91</v>
      </c>
      <c r="C20" s="17" t="s">
        <v>75</v>
      </c>
      <c r="D20" s="17" t="s">
        <v>72</v>
      </c>
      <c r="E20" s="17" t="s">
        <v>52</v>
      </c>
      <c r="F20" s="17" t="s">
        <v>49</v>
      </c>
      <c r="G20" s="17" t="s">
        <v>20</v>
      </c>
      <c r="H20" s="17" t="s">
        <v>20</v>
      </c>
      <c r="I20" s="17" t="s">
        <v>20</v>
      </c>
      <c r="J20" s="17" t="s">
        <v>20</v>
      </c>
      <c r="K20" s="17" t="s">
        <v>20</v>
      </c>
      <c r="L20" s="17" t="s">
        <v>20</v>
      </c>
      <c r="M20" s="18" t="s">
        <v>20</v>
      </c>
      <c r="N20" s="1"/>
      <c r="O20" s="28">
        <f>VALUE(RegExpExtract(A20,"(\d|[,-])+"))*IF(RegExpExtract(A20,".$")="m",10^-3,IF(RegExpExtract(A20,".$")="u",10^-6,IF(RegExpExtract(A20,".$")="n",10^-9,IF(RegExpExtract(A20,".$")="p",10^-12,1))))</f>
        <v>9.9999999999999991E-6</v>
      </c>
      <c r="P20" s="24">
        <f>VALUE(RegExpExtract(B20,"(\d|[,-])+"))*IF(RegExpExtract(B20,".$")="m",10^-3,IF(RegExpExtract(B20,".$")="u",10^-6,IF(RegExpExtract(B20,".$")="n",10^-9,IF(RegExpExtract(B20,".$")="p",10^-12,1))))</f>
        <v>0.47600000000000003</v>
      </c>
      <c r="Q20" s="24">
        <f>VALUE(RegExpExtract(C20,"(\d|[,-])+"))*IF(RegExpExtract(C20,".$")="m",10^-3,IF(RegExpExtract(C20,".$")="u",10^-6,IF(RegExpExtract(C20,".$")="n",10^-9,IF(RegExpExtract(C20,".$")="p",10^-12,1))))</f>
        <v>0.496</v>
      </c>
      <c r="R20" s="24">
        <f>VALUE(RegExpExtract(D20,"(\d|[,-])+"))*IF(RegExpExtract(D20,".$")="m",10^-3,IF(RegExpExtract(D20,".$")="u",10^-6,IF(RegExpExtract(D20,".$")="n",10^-9,IF(RegExpExtract(D20,".$")="p",10^-12,1))))</f>
        <v>0.51500000000000001</v>
      </c>
      <c r="S20" s="24">
        <f>VALUE(RegExpExtract(E20,"(\d|[,-])+"))*IF(RegExpExtract(E20,".$")="m",10^-3,IF(RegExpExtract(E20,".$")="u",10^-6,IF(RegExpExtract(E20,".$")="n",10^-9,IF(RegExpExtract(E20,".$")="p",10^-12,1))))</f>
        <v>0.55100000000000005</v>
      </c>
      <c r="T20" s="24">
        <f>VALUE(RegExpExtract(F20,"(\d|[,-])+"))*IF(RegExpExtract(F20,".$")="m",10^-3,IF(RegExpExtract(F20,".$")="u",10^-6,IF(RegExpExtract(F20,".$")="n",10^-9,IF(RegExpExtract(F20,".$")="p",10^-12,1))))</f>
        <v>0.59</v>
      </c>
      <c r="U20" s="24">
        <f>VALUE(RegExpExtract(G20,"(\d|[,-])+"))*IF(RegExpExtract(G20,".$")="m",10^-3,IF(RegExpExtract(G20,".$")="u",10^-6,IF(RegExpExtract(G20,".$")="n",10^-9,IF(RegExpExtract(G20,".$")="p",10^-12,1))))</f>
        <v>0.59499999999999997</v>
      </c>
      <c r="V20" s="24">
        <f>VALUE(RegExpExtract(H20,"(\d|[,-])+"))*IF(RegExpExtract(H20,".$")="m",10^-3,IF(RegExpExtract(H20,".$")="u",10^-6,IF(RegExpExtract(H20,".$")="n",10^-9,IF(RegExpExtract(H20,".$")="p",10^-12,1))))</f>
        <v>0.59499999999999997</v>
      </c>
      <c r="W20" s="24">
        <f>VALUE(RegExpExtract(I20,"(\d|[,-])+"))*IF(RegExpExtract(I20,".$")="m",10^-3,IF(RegExpExtract(I20,".$")="u",10^-6,IF(RegExpExtract(I20,".$")="n",10^-9,IF(RegExpExtract(I20,".$")="p",10^-12,1))))</f>
        <v>0.59499999999999997</v>
      </c>
      <c r="X20" s="24">
        <f>VALUE(RegExpExtract(J20,"(\d|[,-])+"))*IF(RegExpExtract(J20,".$")="m",10^-3,IF(RegExpExtract(J20,".$")="u",10^-6,IF(RegExpExtract(J20,".$")="n",10^-9,IF(RegExpExtract(J20,".$")="p",10^-12,1))))</f>
        <v>0.59499999999999997</v>
      </c>
      <c r="Y20" s="24">
        <f>VALUE(RegExpExtract(K20,"(\d|[,-])+"))*IF(RegExpExtract(K20,".$")="m",10^-3,IF(RegExpExtract(K20,".$")="u",10^-6,IF(RegExpExtract(K20,".$")="n",10^-9,IF(RegExpExtract(K20,".$")="p",10^-12,1))))</f>
        <v>0.59499999999999997</v>
      </c>
      <c r="Z20" s="24">
        <f>VALUE(RegExpExtract(L20,"(\d|[,-])+"))*IF(RegExpExtract(L20,".$")="m",10^-3,IF(RegExpExtract(L20,".$")="u",10^-6,IF(RegExpExtract(L20,".$")="n",10^-9,IF(RegExpExtract(L20,".$")="p",10^-12,1))))</f>
        <v>0.59499999999999997</v>
      </c>
      <c r="AA20" s="24">
        <f>VALUE(RegExpExtract(M20,"(\d|[,-])+"))*IF(RegExpExtract(M20,".$")="m",10^-3,IF(RegExpExtract(M20,".$")="u",10^-6,IF(RegExpExtract(M20,".$")="n",10^-9,IF(RegExpExtract(M20,".$")="p",10^-12,1))))</f>
        <v>0.59499999999999997</v>
      </c>
      <c r="AC20" s="24">
        <f t="shared" si="1"/>
        <v>9.9999999999999991E-6</v>
      </c>
      <c r="AD20" s="24">
        <f t="shared" si="1"/>
        <v>0.47600000000000003</v>
      </c>
      <c r="AE20" s="24">
        <f t="shared" si="4"/>
        <v>0.496</v>
      </c>
      <c r="AF20" s="24">
        <f t="shared" si="5"/>
        <v>0.51500000000000001</v>
      </c>
      <c r="AG20" s="24">
        <f t="shared" si="6"/>
        <v>0.55100000000000005</v>
      </c>
      <c r="AH20" s="24">
        <f t="shared" si="7"/>
        <v>0.59</v>
      </c>
      <c r="AI20" s="24">
        <f t="shared" si="8"/>
        <v>0.59499999999999997</v>
      </c>
      <c r="AJ20" s="24">
        <f t="shared" si="9"/>
        <v>0.59499999999999997</v>
      </c>
      <c r="AK20" s="24">
        <f t="shared" si="10"/>
        <v>0.59499999999999997</v>
      </c>
      <c r="AL20" s="24">
        <f t="shared" si="11"/>
        <v>0.59499999999999997</v>
      </c>
      <c r="AM20" s="24">
        <f t="shared" si="12"/>
        <v>0.59499999999999997</v>
      </c>
      <c r="AN20" s="24">
        <f t="shared" si="13"/>
        <v>0.59499999999999997</v>
      </c>
      <c r="AO20" s="24">
        <f t="shared" si="14"/>
        <v>0.59499999999999997</v>
      </c>
    </row>
    <row r="21" spans="1:41">
      <c r="A21" s="11" t="s">
        <v>4</v>
      </c>
      <c r="B21" s="16" t="s">
        <v>9</v>
      </c>
      <c r="C21" s="17" t="s">
        <v>115</v>
      </c>
      <c r="D21" s="17" t="s">
        <v>8</v>
      </c>
      <c r="E21" s="17" t="s">
        <v>7</v>
      </c>
      <c r="F21" s="17" t="s">
        <v>6</v>
      </c>
      <c r="G21" s="17" t="s">
        <v>5</v>
      </c>
      <c r="H21" s="17" t="s">
        <v>5</v>
      </c>
      <c r="I21" s="17" t="s">
        <v>5</v>
      </c>
      <c r="J21" s="17" t="s">
        <v>5</v>
      </c>
      <c r="K21" s="17" t="s">
        <v>5</v>
      </c>
      <c r="L21" s="17" t="s">
        <v>5</v>
      </c>
      <c r="M21" s="18" t="s">
        <v>5</v>
      </c>
      <c r="N21" s="1"/>
      <c r="O21" s="28">
        <f>VALUE(RegExpExtract(A21,"(\d|[,-])+"))*IF(RegExpExtract(A21,".$")="m",10^-3,IF(RegExpExtract(A21,".$")="u",10^-6,IF(RegExpExtract(A21,".$")="n",10^-9,IF(RegExpExtract(A21,".$")="p",10^-12,1))))</f>
        <v>9.9999999999999995E-7</v>
      </c>
      <c r="P21" s="24">
        <f>VALUE(RegExpExtract(B21,"(\d|[,-])+"))*IF(RegExpExtract(B21,".$")="m",10^-3,IF(RegExpExtract(B21,".$")="u",10^-6,IF(RegExpExtract(B21,".$")="n",10^-9,IF(RegExpExtract(B21,".$")="p",10^-12,1))))</f>
        <v>0.41600000000000004</v>
      </c>
      <c r="Q21" s="24">
        <f>VALUE(RegExpExtract(C21,"(\d|[,-])+"))*IF(RegExpExtract(C21,".$")="m",10^-3,IF(RegExpExtract(C21,".$")="u",10^-6,IF(RegExpExtract(C21,".$")="n",10^-9,IF(RegExpExtract(C21,".$")="p",10^-12,1))))</f>
        <v>0.436</v>
      </c>
      <c r="R21" s="24">
        <f>VALUE(RegExpExtract(D21,"(\d|[,-])+"))*IF(RegExpExtract(D21,".$")="m",10^-3,IF(RegExpExtract(D21,".$")="u",10^-6,IF(RegExpExtract(D21,".$")="n",10^-9,IF(RegExpExtract(D21,".$")="p",10^-12,1))))</f>
        <v>0.45500000000000002</v>
      </c>
      <c r="S21" s="24">
        <f>VALUE(RegExpExtract(E21,"(\d|[,-])+"))*IF(RegExpExtract(E21,".$")="m",10^-3,IF(RegExpExtract(E21,".$")="u",10^-6,IF(RegExpExtract(E21,".$")="n",10^-9,IF(RegExpExtract(E21,".$")="p",10^-12,1))))</f>
        <v>0.49199999999999999</v>
      </c>
      <c r="T21" s="24">
        <f>VALUE(RegExpExtract(F21,"(\d|[,-])+"))*IF(RegExpExtract(F21,".$")="m",10^-3,IF(RegExpExtract(F21,".$")="u",10^-6,IF(RegExpExtract(F21,".$")="n",10^-9,IF(RegExpExtract(F21,".$")="p",10^-12,1))))</f>
        <v>0.53100000000000003</v>
      </c>
      <c r="U21" s="24">
        <f>VALUE(RegExpExtract(G21,"(\d|[,-])+"))*IF(RegExpExtract(G21,".$")="m",10^-3,IF(RegExpExtract(G21,".$")="u",10^-6,IF(RegExpExtract(G21,".$")="n",10^-9,IF(RegExpExtract(G21,".$")="p",10^-12,1))))</f>
        <v>0.53500000000000003</v>
      </c>
      <c r="V21" s="24">
        <f>VALUE(RegExpExtract(H21,"(\d|[,-])+"))*IF(RegExpExtract(H21,".$")="m",10^-3,IF(RegExpExtract(H21,".$")="u",10^-6,IF(RegExpExtract(H21,".$")="n",10^-9,IF(RegExpExtract(H21,".$")="p",10^-12,1))))</f>
        <v>0.53500000000000003</v>
      </c>
      <c r="W21" s="24">
        <f>VALUE(RegExpExtract(I21,"(\d|[,-])+"))*IF(RegExpExtract(I21,".$")="m",10^-3,IF(RegExpExtract(I21,".$")="u",10^-6,IF(RegExpExtract(I21,".$")="n",10^-9,IF(RegExpExtract(I21,".$")="p",10^-12,1))))</f>
        <v>0.53500000000000003</v>
      </c>
      <c r="X21" s="24">
        <f>VALUE(RegExpExtract(J21,"(\d|[,-])+"))*IF(RegExpExtract(J21,".$")="m",10^-3,IF(RegExpExtract(J21,".$")="u",10^-6,IF(RegExpExtract(J21,".$")="n",10^-9,IF(RegExpExtract(J21,".$")="p",10^-12,1))))</f>
        <v>0.53500000000000003</v>
      </c>
      <c r="Y21" s="24">
        <f>VALUE(RegExpExtract(K21,"(\d|[,-])+"))*IF(RegExpExtract(K21,".$")="m",10^-3,IF(RegExpExtract(K21,".$")="u",10^-6,IF(RegExpExtract(K21,".$")="n",10^-9,IF(RegExpExtract(K21,".$")="p",10^-12,1))))</f>
        <v>0.53500000000000003</v>
      </c>
      <c r="Z21" s="24">
        <f>VALUE(RegExpExtract(L21,"(\d|[,-])+"))*IF(RegExpExtract(L21,".$")="m",10^-3,IF(RegExpExtract(L21,".$")="u",10^-6,IF(RegExpExtract(L21,".$")="n",10^-9,IF(RegExpExtract(L21,".$")="p",10^-12,1))))</f>
        <v>0.53500000000000003</v>
      </c>
      <c r="AA21" s="24">
        <f>VALUE(RegExpExtract(M21,"(\d|[,-])+"))*IF(RegExpExtract(M21,".$")="m",10^-3,IF(RegExpExtract(M21,".$")="u",10^-6,IF(RegExpExtract(M21,".$")="n",10^-9,IF(RegExpExtract(M21,".$")="p",10^-12,1))))</f>
        <v>0.53500000000000003</v>
      </c>
      <c r="AC21" s="24">
        <f t="shared" si="1"/>
        <v>9.9999999999999995E-7</v>
      </c>
      <c r="AD21" s="24">
        <f t="shared" si="1"/>
        <v>0.41600000000000004</v>
      </c>
      <c r="AE21" s="24">
        <f t="shared" si="4"/>
        <v>0.436</v>
      </c>
      <c r="AF21" s="24">
        <f t="shared" si="5"/>
        <v>0.45500000000000002</v>
      </c>
      <c r="AG21" s="24">
        <f t="shared" si="6"/>
        <v>0.49199999999999999</v>
      </c>
      <c r="AH21" s="24">
        <f t="shared" si="7"/>
        <v>0.53100000000000003</v>
      </c>
      <c r="AI21" s="24">
        <f t="shared" si="8"/>
        <v>0.53500000000000003</v>
      </c>
      <c r="AJ21" s="24">
        <f t="shared" si="9"/>
        <v>0.53500000000000003</v>
      </c>
      <c r="AK21" s="24">
        <f t="shared" si="10"/>
        <v>0.53500000000000003</v>
      </c>
      <c r="AL21" s="24">
        <f t="shared" si="11"/>
        <v>0.53500000000000003</v>
      </c>
      <c r="AM21" s="24">
        <f t="shared" si="12"/>
        <v>0.53500000000000003</v>
      </c>
      <c r="AN21" s="24">
        <f t="shared" si="13"/>
        <v>0.53500000000000003</v>
      </c>
      <c r="AO21" s="24">
        <f t="shared" si="14"/>
        <v>0.53500000000000003</v>
      </c>
    </row>
    <row r="22" spans="1:41">
      <c r="A22" s="11">
        <v>0</v>
      </c>
      <c r="B22" s="17">
        <v>0</v>
      </c>
      <c r="C22" s="17" t="s">
        <v>92</v>
      </c>
      <c r="D22" s="17" t="s">
        <v>93</v>
      </c>
      <c r="E22" s="17" t="s">
        <v>94</v>
      </c>
      <c r="F22" s="17" t="s">
        <v>95</v>
      </c>
      <c r="G22" s="17" t="s">
        <v>96</v>
      </c>
      <c r="H22" s="17" t="s">
        <v>97</v>
      </c>
      <c r="I22" s="17" t="s">
        <v>97</v>
      </c>
      <c r="J22" s="17" t="s">
        <v>97</v>
      </c>
      <c r="K22" s="17" t="s">
        <v>97</v>
      </c>
      <c r="L22" s="17" t="s">
        <v>97</v>
      </c>
      <c r="M22" s="18" t="s">
        <v>97</v>
      </c>
      <c r="N22" s="1"/>
      <c r="O22" s="28">
        <f>VALUE(RegExpExtract(A22,"(\d|[,-])+"))*IF(RegExpExtract(A22,".$")="m",10^-3,IF(RegExpExtract(A22,".$")="u",10^-6,IF(RegExpExtract(A22,".$")="n",10^-9,IF(RegExpExtract(A22,".$")="p",10^-12,1))))</f>
        <v>0</v>
      </c>
      <c r="P22" s="24">
        <f>VALUE(RegExpExtract(B22,"(\d|[,-])+"))*IF(RegExpExtract(B22,".$")="m",10^-3,IF(RegExpExtract(B22,".$")="u",10^-6,IF(RegExpExtract(B22,".$")="n",10^-9,IF(RegExpExtract(B22,".$")="p",10^-12,1))))</f>
        <v>0</v>
      </c>
      <c r="Q22" s="24">
        <f>VALUE(RegExpExtract(C22,"(\d|[,-])+"))*IF(RegExpExtract(C22,".$")="m",10^-3,IF(RegExpExtract(C22,".$")="u",10^-6,IF(RegExpExtract(C22,".$")="n",10^-9,IF(RegExpExtract(C22,".$")="p",10^-12,1))))</f>
        <v>1.9E-2</v>
      </c>
      <c r="R22" s="24">
        <f>VALUE(RegExpExtract(D22,"(\d|[,-])+"))*IF(RegExpExtract(D22,".$")="m",10^-3,IF(RegExpExtract(D22,".$")="u",10^-6,IF(RegExpExtract(D22,".$")="n",10^-9,IF(RegExpExtract(D22,".$")="p",10^-12,1))))</f>
        <v>3.9E-2</v>
      </c>
      <c r="S22" s="24">
        <f>VALUE(RegExpExtract(E22,"(\d|[,-])+"))*IF(RegExpExtract(E22,".$")="m",10^-3,IF(RegExpExtract(E22,".$")="u",10^-6,IF(RegExpExtract(E22,".$")="n",10^-9,IF(RegExpExtract(E22,".$")="p",10^-12,1))))</f>
        <v>7.4999999999999997E-2</v>
      </c>
      <c r="T22" s="24">
        <f>VALUE(RegExpExtract(F22,"(\d|[,-])+"))*IF(RegExpExtract(F22,".$")="m",10^-3,IF(RegExpExtract(F22,".$")="u",10^-6,IF(RegExpExtract(F22,".$")="n",10^-9,IF(RegExpExtract(F22,".$")="p",10^-12,1))))</f>
        <v>0.114</v>
      </c>
      <c r="U22" s="24">
        <f>VALUE(RegExpExtract(G22,"(\d|[,-])+"))*IF(RegExpExtract(G22,".$")="m",10^-3,IF(RegExpExtract(G22,".$")="u",10^-6,IF(RegExpExtract(G22,".$")="n",10^-9,IF(RegExpExtract(G22,".$")="p",10^-12,1))))</f>
        <v>0.11800000000000001</v>
      </c>
      <c r="V22" s="24">
        <f>VALUE(RegExpExtract(H22,"(\d|[,-])+"))*IF(RegExpExtract(H22,".$")="m",10^-3,IF(RegExpExtract(H22,".$")="u",10^-6,IF(RegExpExtract(H22,".$")="n",10^-9,IF(RegExpExtract(H22,".$")="p",10^-12,1))))</f>
        <v>0.11900000000000001</v>
      </c>
      <c r="W22" s="24">
        <f>VALUE(RegExpExtract(I22,"(\d|[,-])+"))*IF(RegExpExtract(I22,".$")="m",10^-3,IF(RegExpExtract(I22,".$")="u",10^-6,IF(RegExpExtract(I22,".$")="n",10^-9,IF(RegExpExtract(I22,".$")="p",10^-12,1))))</f>
        <v>0.11900000000000001</v>
      </c>
      <c r="X22" s="24">
        <f>VALUE(RegExpExtract(J22,"(\d|[,-])+"))*IF(RegExpExtract(J22,".$")="m",10^-3,IF(RegExpExtract(J22,".$")="u",10^-6,IF(RegExpExtract(J22,".$")="n",10^-9,IF(RegExpExtract(J22,".$")="p",10^-12,1))))</f>
        <v>0.11900000000000001</v>
      </c>
      <c r="Y22" s="24">
        <f>VALUE(RegExpExtract(K22,"(\d|[,-])+"))*IF(RegExpExtract(K22,".$")="m",10^-3,IF(RegExpExtract(K22,".$")="u",10^-6,IF(RegExpExtract(K22,".$")="n",10^-9,IF(RegExpExtract(K22,".$")="p",10^-12,1))))</f>
        <v>0.11900000000000001</v>
      </c>
      <c r="Z22" s="24">
        <f>VALUE(RegExpExtract(L22,"(\d|[,-])+"))*IF(RegExpExtract(L22,".$")="m",10^-3,IF(RegExpExtract(L22,".$")="u",10^-6,IF(RegExpExtract(L22,".$")="n",10^-9,IF(RegExpExtract(L22,".$")="p",10^-12,1))))</f>
        <v>0.11900000000000001</v>
      </c>
      <c r="AA22" s="24">
        <f>VALUE(RegExpExtract(M22,"(\d|[,-])+"))*IF(RegExpExtract(M22,".$")="m",10^-3,IF(RegExpExtract(M22,".$")="u",10^-6,IF(RegExpExtract(M22,".$")="n",10^-9,IF(RegExpExtract(M22,".$")="p",10^-12,1))))</f>
        <v>0.11900000000000001</v>
      </c>
      <c r="AC22" s="24">
        <f t="shared" si="1"/>
        <v>0</v>
      </c>
      <c r="AD22" s="24">
        <f t="shared" si="1"/>
        <v>0</v>
      </c>
      <c r="AE22" s="24">
        <f t="shared" si="4"/>
        <v>1.9E-2</v>
      </c>
      <c r="AF22" s="24">
        <f t="shared" si="5"/>
        <v>3.9E-2</v>
      </c>
      <c r="AG22" s="24">
        <f t="shared" si="6"/>
        <v>7.4999999999999997E-2</v>
      </c>
      <c r="AH22" s="24">
        <f t="shared" si="7"/>
        <v>0.114</v>
      </c>
      <c r="AI22" s="24">
        <f t="shared" si="8"/>
        <v>0.11800000000000001</v>
      </c>
      <c r="AJ22" s="24">
        <f t="shared" si="9"/>
        <v>0.11900000000000001</v>
      </c>
      <c r="AK22" s="24">
        <f t="shared" si="10"/>
        <v>0.11900000000000001</v>
      </c>
      <c r="AL22" s="24">
        <f t="shared" si="11"/>
        <v>0.11900000000000001</v>
      </c>
      <c r="AM22" s="24">
        <f t="shared" si="12"/>
        <v>0.11900000000000001</v>
      </c>
      <c r="AN22" s="24">
        <f t="shared" si="13"/>
        <v>0.11900000000000001</v>
      </c>
      <c r="AO22" s="24">
        <f t="shared" si="14"/>
        <v>0.11900000000000001</v>
      </c>
    </row>
    <row r="23" spans="1:41" ht="15.75" thickBot="1">
      <c r="A23" s="11" t="s">
        <v>104</v>
      </c>
      <c r="B23" s="20" t="s">
        <v>105</v>
      </c>
      <c r="C23" s="20" t="s">
        <v>105</v>
      </c>
      <c r="D23" s="20" t="s">
        <v>105</v>
      </c>
      <c r="E23" s="20" t="s">
        <v>105</v>
      </c>
      <c r="F23" s="20" t="s">
        <v>105</v>
      </c>
      <c r="G23" s="20" t="s">
        <v>105</v>
      </c>
      <c r="H23" s="20" t="s">
        <v>105</v>
      </c>
      <c r="I23" s="20" t="s">
        <v>105</v>
      </c>
      <c r="J23" s="20" t="s">
        <v>105</v>
      </c>
      <c r="K23" s="20" t="s">
        <v>105</v>
      </c>
      <c r="L23" s="20" t="s">
        <v>105</v>
      </c>
      <c r="M23" s="21" t="s">
        <v>105</v>
      </c>
      <c r="N23" s="4" t="s">
        <v>107</v>
      </c>
      <c r="O23" s="28">
        <f>VALUE(RegExpExtract(A23,"(\d|[,-])+"))*IF(RegExpExtract(A23,".$")="m",10^-3,IF(RegExpExtract(A23,".$")="u",10^-6,IF(RegExpExtract(A23,".$")="n",10^-9,IF(RegExpExtract(A23,".$")="p",10^-12,1))))</f>
        <v>-1E-13</v>
      </c>
      <c r="P23" s="24">
        <f>VALUE(RegExpExtract(B23,"(\d|[,-])+"))*IF(RegExpExtract(B23,".$")="m",10^-3,IF(RegExpExtract(B23,".$")="u",10^-6,IF(RegExpExtract(B23,".$")="n",10^-9,IF(RegExpExtract(B23,".$")="p",10^-12,1))))</f>
        <v>-10</v>
      </c>
      <c r="Q23" s="24">
        <f>VALUE(RegExpExtract(C23,"(\d|[,-])+"))*IF(RegExpExtract(C23,".$")="m",10^-3,IF(RegExpExtract(C23,".$")="u",10^-6,IF(RegExpExtract(C23,".$")="n",10^-9,IF(RegExpExtract(C23,".$")="p",10^-12,1))))</f>
        <v>-10</v>
      </c>
      <c r="R23" s="24">
        <f>VALUE(RegExpExtract(D23,"(\d|[,-])+"))*IF(RegExpExtract(D23,".$")="m",10^-3,IF(RegExpExtract(D23,".$")="u",10^-6,IF(RegExpExtract(D23,".$")="n",10^-9,IF(RegExpExtract(D23,".$")="p",10^-12,1))))</f>
        <v>-10</v>
      </c>
      <c r="S23" s="24">
        <f>VALUE(RegExpExtract(E23,"(\d|[,-])+"))*IF(RegExpExtract(E23,".$")="m",10^-3,IF(RegExpExtract(E23,".$")="u",10^-6,IF(RegExpExtract(E23,".$")="n",10^-9,IF(RegExpExtract(E23,".$")="p",10^-12,1))))</f>
        <v>-10</v>
      </c>
      <c r="T23" s="24">
        <f>VALUE(RegExpExtract(F23,"(\d|[,-])+"))*IF(RegExpExtract(F23,".$")="m",10^-3,IF(RegExpExtract(F23,".$")="u",10^-6,IF(RegExpExtract(F23,".$")="n",10^-9,IF(RegExpExtract(F23,".$")="p",10^-12,1))))</f>
        <v>-10</v>
      </c>
      <c r="U23" s="24">
        <f>VALUE(RegExpExtract(G23,"(\d|[,-])+"))*IF(RegExpExtract(G23,".$")="m",10^-3,IF(RegExpExtract(G23,".$")="u",10^-6,IF(RegExpExtract(G23,".$")="n",10^-9,IF(RegExpExtract(G23,".$")="p",10^-12,1))))</f>
        <v>-10</v>
      </c>
      <c r="V23" s="24">
        <f>VALUE(RegExpExtract(H23,"(\d|[,-])+"))*IF(RegExpExtract(H23,".$")="m",10^-3,IF(RegExpExtract(H23,".$")="u",10^-6,IF(RegExpExtract(H23,".$")="n",10^-9,IF(RegExpExtract(H23,".$")="p",10^-12,1))))</f>
        <v>-10</v>
      </c>
      <c r="W23" s="24">
        <f>VALUE(RegExpExtract(I23,"(\d|[,-])+"))*IF(RegExpExtract(I23,".$")="m",10^-3,IF(RegExpExtract(I23,".$")="u",10^-6,IF(RegExpExtract(I23,".$")="n",10^-9,IF(RegExpExtract(I23,".$")="p",10^-12,1))))</f>
        <v>-10</v>
      </c>
      <c r="X23" s="24">
        <f>VALUE(RegExpExtract(J23,"(\d|[,-])+"))*IF(RegExpExtract(J23,".$")="m",10^-3,IF(RegExpExtract(J23,".$")="u",10^-6,IF(RegExpExtract(J23,".$")="n",10^-9,IF(RegExpExtract(J23,".$")="p",10^-12,1))))</f>
        <v>-10</v>
      </c>
      <c r="Y23" s="24">
        <f>VALUE(RegExpExtract(K23,"(\d|[,-])+"))*IF(RegExpExtract(K23,".$")="m",10^-3,IF(RegExpExtract(K23,".$")="u",10^-6,IF(RegExpExtract(K23,".$")="n",10^-9,IF(RegExpExtract(K23,".$")="p",10^-12,1))))</f>
        <v>-10</v>
      </c>
      <c r="Z23" s="24">
        <f>VALUE(RegExpExtract(L23,"(\d|[,-])+"))*IF(RegExpExtract(L23,".$")="m",10^-3,IF(RegExpExtract(L23,".$")="u",10^-6,IF(RegExpExtract(L23,".$")="n",10^-9,IF(RegExpExtract(L23,".$")="p",10^-12,1))))</f>
        <v>-10</v>
      </c>
      <c r="AA23" s="24">
        <f>VALUE(RegExpExtract(M23,"(\d|[,-])+"))*IF(RegExpExtract(M23,".$")="m",10^-3,IF(RegExpExtract(M23,".$")="u",10^-6,IF(RegExpExtract(M23,".$")="n",10^-9,IF(RegExpExtract(M23,".$")="p",10^-12,1))))</f>
        <v>-10</v>
      </c>
      <c r="AC23" s="24">
        <f t="shared" si="1"/>
        <v>-1E-13</v>
      </c>
      <c r="AD23" s="24">
        <f t="shared" si="1"/>
        <v>-10</v>
      </c>
      <c r="AE23" s="24">
        <f t="shared" si="4"/>
        <v>-10</v>
      </c>
      <c r="AF23" s="24">
        <f t="shared" si="5"/>
        <v>-10</v>
      </c>
      <c r="AG23" s="24">
        <f t="shared" si="6"/>
        <v>-10</v>
      </c>
      <c r="AH23" s="24">
        <f t="shared" si="7"/>
        <v>-10</v>
      </c>
      <c r="AI23" s="24">
        <f t="shared" si="8"/>
        <v>-10</v>
      </c>
      <c r="AJ23" s="24">
        <f t="shared" si="9"/>
        <v>-10</v>
      </c>
      <c r="AK23" s="24">
        <f t="shared" si="10"/>
        <v>-10</v>
      </c>
      <c r="AL23" s="24">
        <f t="shared" si="11"/>
        <v>-10</v>
      </c>
      <c r="AM23" s="24">
        <f t="shared" si="12"/>
        <v>-10</v>
      </c>
      <c r="AN23" s="24">
        <f t="shared" si="13"/>
        <v>-10</v>
      </c>
      <c r="AO23" s="24">
        <f t="shared" si="14"/>
        <v>-10</v>
      </c>
    </row>
    <row r="24" spans="1:41" ht="15.75" thickBot="1">
      <c r="A24" s="47" t="s">
        <v>3</v>
      </c>
      <c r="B24" s="5">
        <v>0</v>
      </c>
      <c r="C24" s="5">
        <v>0.02</v>
      </c>
      <c r="D24" s="5">
        <v>0.04</v>
      </c>
      <c r="E24" s="5">
        <v>0.08</v>
      </c>
      <c r="F24" s="5">
        <v>0.16</v>
      </c>
      <c r="G24" s="5">
        <v>0.2</v>
      </c>
      <c r="H24" s="5">
        <v>0.3</v>
      </c>
      <c r="I24" s="5">
        <v>0.4</v>
      </c>
      <c r="J24" s="5">
        <v>0.5</v>
      </c>
      <c r="K24" s="5">
        <v>1</v>
      </c>
      <c r="L24" s="5">
        <v>1.5</v>
      </c>
      <c r="M24" s="22">
        <v>2</v>
      </c>
      <c r="N24" s="10" t="s">
        <v>1</v>
      </c>
      <c r="O24" s="29"/>
      <c r="P24" s="30">
        <f>VALUE(RegExpExtract(B24,"(\d|[,-])+"))*IF(RegExpExtract(B24,".$")="m",10^-3,IF(RegExpExtract(B24,".$")="u",10^-6,IF(RegExpExtract(B24,".$")="n",10^-9,IF(RegExpExtract(B24,".$")="p",10^-12,1))))</f>
        <v>0</v>
      </c>
      <c r="Q24" s="30">
        <f>VALUE(RegExpExtract(C24,"(\d|[,-])+"))*IF(RegExpExtract(C24,".$")="m",10^-3,IF(RegExpExtract(C24,".$")="u",10^-6,IF(RegExpExtract(C24,".$")="n",10^-9,IF(RegExpExtract(C24,".$")="p",10^-12,1))))</f>
        <v>0.02</v>
      </c>
      <c r="R24" s="30">
        <f>VALUE(RegExpExtract(D24,"(\d|[,-])+"))*IF(RegExpExtract(D24,".$")="m",10^-3,IF(RegExpExtract(D24,".$")="u",10^-6,IF(RegExpExtract(D24,".$")="n",10^-9,IF(RegExpExtract(D24,".$")="p",10^-12,1))))</f>
        <v>0.04</v>
      </c>
      <c r="S24" s="30">
        <f>VALUE(RegExpExtract(E24,"(\d|[,-])+"))*IF(RegExpExtract(E24,".$")="m",10^-3,IF(RegExpExtract(E24,".$")="u",10^-6,IF(RegExpExtract(E24,".$")="n",10^-9,IF(RegExpExtract(E24,".$")="p",10^-12,1))))</f>
        <v>0.08</v>
      </c>
      <c r="T24" s="30">
        <f>VALUE(RegExpExtract(F24,"(\d|[,-])+"))*IF(RegExpExtract(F24,".$")="m",10^-3,IF(RegExpExtract(F24,".$")="u",10^-6,IF(RegExpExtract(F24,".$")="n",10^-9,IF(RegExpExtract(F24,".$")="p",10^-12,1))))</f>
        <v>0.16</v>
      </c>
      <c r="U24" s="30">
        <f>VALUE(RegExpExtract(G24,"(\d|[,-])+"))*IF(RegExpExtract(G24,".$")="m",10^-3,IF(RegExpExtract(G24,".$")="u",10^-6,IF(RegExpExtract(G24,".$")="n",10^-9,IF(RegExpExtract(G24,".$")="p",10^-12,1))))</f>
        <v>0.2</v>
      </c>
      <c r="V24" s="30">
        <f>VALUE(RegExpExtract(H24,"(\d|[,-])+"))*IF(RegExpExtract(H24,".$")="m",10^-3,IF(RegExpExtract(H24,".$")="u",10^-6,IF(RegExpExtract(H24,".$")="n",10^-9,IF(RegExpExtract(H24,".$")="p",10^-12,1))))</f>
        <v>0.3</v>
      </c>
      <c r="W24" s="30">
        <f>VALUE(RegExpExtract(I24,"(\d|[,-])+"))*IF(RegExpExtract(I24,".$")="m",10^-3,IF(RegExpExtract(I24,".$")="u",10^-6,IF(RegExpExtract(I24,".$")="n",10^-9,IF(RegExpExtract(I24,".$")="p",10^-12,1))))</f>
        <v>0.4</v>
      </c>
      <c r="X24" s="30">
        <f>VALUE(RegExpExtract(J24,"(\d|[,-])+"))*IF(RegExpExtract(J24,".$")="m",10^-3,IF(RegExpExtract(J24,".$")="u",10^-6,IF(RegExpExtract(J24,".$")="n",10^-9,IF(RegExpExtract(J24,".$")="p",10^-12,1))))</f>
        <v>0.5</v>
      </c>
      <c r="Y24" s="30">
        <f>VALUE(RegExpExtract(K24,"(\d|[,-])+"))*IF(RegExpExtract(K24,".$")="m",10^-3,IF(RegExpExtract(K24,".$")="u",10^-6,IF(RegExpExtract(K24,".$")="n",10^-9,IF(RegExpExtract(K24,".$")="p",10^-12,1))))</f>
        <v>1</v>
      </c>
      <c r="Z24" s="30">
        <f>VALUE(RegExpExtract(L24,"(\d|[,-])+"))*IF(RegExpExtract(L24,".$")="m",10^-3,IF(RegExpExtract(L24,".$")="u",10^-6,IF(RegExpExtract(L24,".$")="n",10^-9,IF(RegExpExtract(L24,".$")="p",10^-12,1))))</f>
        <v>1.5</v>
      </c>
      <c r="AA24" s="31">
        <f>VALUE(RegExpExtract(M24,"(\d|[,-])+"))*IF(RegExpExtract(M24,".$")="m",10^-3,IF(RegExpExtract(M24,".$")="u",10^-6,IF(RegExpExtract(M24,".$")="n",10^-9,IF(RegExpExtract(M24,".$")="p",10^-12,1))))</f>
        <v>2</v>
      </c>
      <c r="AC24" s="24"/>
      <c r="AD24" s="24">
        <f t="shared" ref="AD24" si="15">P24</f>
        <v>0</v>
      </c>
      <c r="AE24" s="24">
        <f t="shared" ref="AE24" si="16">Q24</f>
        <v>0.02</v>
      </c>
      <c r="AF24" s="24">
        <f t="shared" ref="AF24" si="17">R24</f>
        <v>0.04</v>
      </c>
      <c r="AG24" s="24">
        <f t="shared" ref="AG24" si="18">S24</f>
        <v>0.08</v>
      </c>
      <c r="AH24" s="24">
        <f t="shared" ref="AH24" si="19">T24</f>
        <v>0.16</v>
      </c>
      <c r="AI24" s="24">
        <f t="shared" ref="AI24" si="20">U24</f>
        <v>0.2</v>
      </c>
      <c r="AJ24" s="24">
        <f t="shared" ref="AJ24" si="21">V24</f>
        <v>0.3</v>
      </c>
      <c r="AK24" s="24">
        <f t="shared" ref="AK24" si="22">W24</f>
        <v>0.4</v>
      </c>
      <c r="AL24" s="24">
        <f t="shared" ref="AL24" si="23">X24</f>
        <v>0.5</v>
      </c>
      <c r="AM24" s="24">
        <f t="shared" ref="AM24" si="24">Y24</f>
        <v>1</v>
      </c>
      <c r="AN24" s="24">
        <f t="shared" ref="AN24" si="25">Z24</f>
        <v>1.5</v>
      </c>
      <c r="AO24" s="24">
        <f t="shared" ref="AO24" si="26">AA24</f>
        <v>2</v>
      </c>
    </row>
    <row r="25" spans="1:41" ht="15.75" thickBot="1"/>
    <row r="26" spans="1:41" ht="15.75" thickBot="1">
      <c r="A26" s="6" t="s">
        <v>0</v>
      </c>
    </row>
    <row r="27" spans="1:41">
      <c r="A27" s="23">
        <v>1</v>
      </c>
      <c r="B27" t="str">
        <f>CONCATENATE(TEXT(P27*IF(AND(P27&lt;1,P27&gt;10^-3),10^3,IF(AND(P27&lt;10^-3,P27&gt;10^-6),10^6,IF(AND(P27&lt;10^-6,P27&gt;10^-9),10^9,1))),"#"),IF(AND(P27&lt;1,P27&gt;10^-3),"m",IF(AND(P27&lt;10^-3,P27&gt;10^-6),"u",IF(AND(P27&lt;10^-6,P27&gt;10^-9),"n",""))))</f>
        <v>774m</v>
      </c>
      <c r="C27" t="str">
        <f t="shared" ref="C27:M35" si="27">CONCATENATE(TEXT(Q27*IF(AND(Q27&lt;1,Q27&gt;10^-3),10^3,IF(AND(Q27&lt;10^-3,Q27&gt;10^-6),10^6,IF(AND(Q27&lt;10^-6,Q27&gt;10^-9),10^9,1))),"#"),IF(AND(Q27&lt;1,Q27&gt;10^-3),"m",IF(AND(Q27&lt;10^-3,Q27&gt;10^-6),"u",IF(AND(Q27&lt;10^-6,Q27&gt;10^-9),"n",""))))</f>
        <v>797m</v>
      </c>
      <c r="D27" t="str">
        <f t="shared" si="27"/>
        <v>917m</v>
      </c>
      <c r="E27" t="str">
        <f t="shared" si="27"/>
        <v>2</v>
      </c>
      <c r="F27" t="str">
        <f t="shared" si="27"/>
        <v>14</v>
      </c>
      <c r="G27" t="str">
        <f t="shared" si="27"/>
        <v>20</v>
      </c>
      <c r="H27" t="str">
        <f t="shared" si="27"/>
        <v>31</v>
      </c>
      <c r="I27" t="str">
        <f t="shared" si="27"/>
        <v>41</v>
      </c>
      <c r="J27" t="str">
        <f t="shared" si="27"/>
        <v>51</v>
      </c>
      <c r="K27" t="str">
        <f t="shared" si="27"/>
        <v>101</v>
      </c>
      <c r="L27" t="str">
        <f t="shared" si="27"/>
        <v>151</v>
      </c>
      <c r="M27" t="str">
        <f t="shared" si="27"/>
        <v>201</v>
      </c>
      <c r="O27" s="23">
        <v>1</v>
      </c>
      <c r="P27">
        <f>P15*$O15+P$24*P3</f>
        <v>0.77400000000000002</v>
      </c>
      <c r="Q27">
        <f>Q15*$O15+Q$24*Q3</f>
        <v>0.79734000000000005</v>
      </c>
      <c r="R27">
        <f>R15*$O15+R$24*R3</f>
        <v>0.91700000000000004</v>
      </c>
      <c r="S27">
        <f>S15*$O15+S$24*S3</f>
        <v>2.2110000000000003</v>
      </c>
      <c r="T27">
        <f>T15*$O15+T$24*T3</f>
        <v>14.327999999999999</v>
      </c>
      <c r="U27">
        <f>U15*$O15+U$24*U3</f>
        <v>20.092000000000002</v>
      </c>
      <c r="V27">
        <f>V15*$O15+V$24*V3</f>
        <v>30.893000000000001</v>
      </c>
      <c r="W27">
        <f>W15*$O15+W$24*W3</f>
        <v>40.893000000000001</v>
      </c>
      <c r="X27">
        <f>X15*$O15+X$24*X3</f>
        <v>50.893000000000001</v>
      </c>
      <c r="Y27">
        <f>Y15*$O15+Y$24*Y3</f>
        <v>100.893</v>
      </c>
      <c r="Z27">
        <f>Z15*$O15+Z$24*Z3</f>
        <v>150.893</v>
      </c>
      <c r="AA27">
        <f>AA15*$O15+AA$24*AA3</f>
        <v>200.893</v>
      </c>
    </row>
    <row r="28" spans="1:41">
      <c r="A28" s="11" t="s">
        <v>14</v>
      </c>
      <c r="B28" t="str">
        <f t="shared" ref="B28:B35" si="28">CONCATENATE(TEXT(P28*IF(AND(P28&lt;1,P28&gt;10^-3),10^3,IF(AND(P28&lt;10^-3,P28&gt;10^-6),10^6,IF(AND(P28&lt;10^-6,P28&gt;10^-9),10^9,1))),"#"),IF(AND(P28&lt;1,P28&gt;10^-3),"m",IF(AND(P28&lt;10^-3,P28&gt;10^-6),"u",IF(AND(P28&lt;10^-6,P28&gt;10^-9),"n",""))))</f>
        <v>71m</v>
      </c>
      <c r="C28" t="str">
        <f t="shared" si="27"/>
        <v>74m</v>
      </c>
      <c r="D28" t="str">
        <f t="shared" si="27"/>
        <v>86m</v>
      </c>
      <c r="E28" t="str">
        <f t="shared" si="27"/>
        <v>207m</v>
      </c>
      <c r="F28" t="str">
        <f t="shared" si="27"/>
        <v>1</v>
      </c>
      <c r="G28" t="str">
        <f t="shared" si="27"/>
        <v>2</v>
      </c>
      <c r="H28" t="str">
        <f t="shared" si="27"/>
        <v>3</v>
      </c>
      <c r="I28" t="str">
        <f t="shared" si="27"/>
        <v>4</v>
      </c>
      <c r="J28" t="str">
        <f t="shared" si="27"/>
        <v>5</v>
      </c>
      <c r="K28" t="str">
        <f t="shared" si="27"/>
        <v>10</v>
      </c>
      <c r="L28" t="str">
        <f t="shared" si="27"/>
        <v>15</v>
      </c>
      <c r="M28" t="str">
        <f t="shared" si="27"/>
        <v>20</v>
      </c>
      <c r="O28" s="11" t="s">
        <v>14</v>
      </c>
      <c r="P28">
        <f>P16*$O16+P$24*P4</f>
        <v>7.1400000000000005E-2</v>
      </c>
      <c r="Q28">
        <f>Q16*$O16+Q$24*Q4</f>
        <v>7.3720000000000008E-2</v>
      </c>
      <c r="R28">
        <f>R16*$O16+R$24*R4</f>
        <v>8.5700000000000012E-2</v>
      </c>
      <c r="S28">
        <f>S16*$O16+S$24*S4</f>
        <v>0.20690000000000003</v>
      </c>
      <c r="T28">
        <f>T16*$O16+T$24*T4</f>
        <v>1.3942999999999999</v>
      </c>
      <c r="U28">
        <f>U16*$O16+U$24*U4</f>
        <v>2.0032999999999999</v>
      </c>
      <c r="V28">
        <f>V16*$O16+V$24*V4</f>
        <v>3.0834000000000001</v>
      </c>
      <c r="W28">
        <f>W16*$O16+W$24*W4</f>
        <v>4.0834000000000001</v>
      </c>
      <c r="X28">
        <f>X16*$O16+X$24*X4</f>
        <v>5.0834000000000001</v>
      </c>
      <c r="Y28">
        <f>Y16*$O16+Y$24*Y4</f>
        <v>10.083399999999999</v>
      </c>
      <c r="Z28">
        <f>Z16*$O16+Z$24*Z4</f>
        <v>15.083399999999999</v>
      </c>
      <c r="AA28">
        <f>AA16*$O16+AA$24*AA4</f>
        <v>20.083400000000001</v>
      </c>
    </row>
    <row r="29" spans="1:41">
      <c r="A29" s="11" t="s">
        <v>13</v>
      </c>
      <c r="B29" t="str">
        <f t="shared" si="28"/>
        <v>7m</v>
      </c>
      <c r="C29" t="str">
        <f t="shared" si="27"/>
        <v>7m</v>
      </c>
      <c r="D29" t="str">
        <f t="shared" si="27"/>
        <v>8m</v>
      </c>
      <c r="E29" t="str">
        <f t="shared" si="27"/>
        <v>21m</v>
      </c>
      <c r="F29" t="str">
        <f t="shared" si="27"/>
        <v>140m</v>
      </c>
      <c r="G29" t="str">
        <f t="shared" si="27"/>
        <v>201m</v>
      </c>
      <c r="H29" t="str">
        <f t="shared" si="27"/>
        <v>308m</v>
      </c>
      <c r="I29" t="str">
        <f t="shared" si="27"/>
        <v>408m</v>
      </c>
      <c r="J29" t="str">
        <f t="shared" si="27"/>
        <v>508m</v>
      </c>
      <c r="K29" t="str">
        <f t="shared" si="27"/>
        <v>1</v>
      </c>
      <c r="L29" t="str">
        <f t="shared" si="27"/>
        <v>2</v>
      </c>
      <c r="M29" t="str">
        <f t="shared" si="27"/>
        <v>2</v>
      </c>
      <c r="O29" s="11" t="s">
        <v>13</v>
      </c>
      <c r="P29">
        <f>P17*$O17+P$24*P5</f>
        <v>6.5400000000000007E-3</v>
      </c>
      <c r="Q29">
        <f>Q17*$O17+Q$24*Q5</f>
        <v>6.7720000000000002E-3</v>
      </c>
      <c r="R29">
        <f>R17*$O17+R$24*R5</f>
        <v>7.980000000000001E-3</v>
      </c>
      <c r="S29">
        <f>S17*$O17+S$24*S5</f>
        <v>2.0740000000000001E-2</v>
      </c>
      <c r="T29">
        <f>T17*$O17+T$24*T5</f>
        <v>0.14049</v>
      </c>
      <c r="U29">
        <f>U17*$O17+U$24*U5</f>
        <v>0.20052999999999999</v>
      </c>
      <c r="V29">
        <f>V17*$O17+V$24*V5</f>
        <v>0.30774000000000001</v>
      </c>
      <c r="W29">
        <f>W17*$O17+W$24*W5</f>
        <v>0.40774000000000005</v>
      </c>
      <c r="X29">
        <f>X17*$O17+X$24*X5</f>
        <v>0.50773999999999997</v>
      </c>
      <c r="Y29">
        <f>Y17*$O17+Y$24*Y5</f>
        <v>1.0077400000000001</v>
      </c>
      <c r="Z29">
        <f>Z17*$O17+Z$24*Z5</f>
        <v>1.5077400000000001</v>
      </c>
      <c r="AA29">
        <f>AA17*$O17+AA$24*AA5</f>
        <v>2.0077400000000001</v>
      </c>
    </row>
    <row r="30" spans="1:41">
      <c r="A30" s="11" t="s">
        <v>12</v>
      </c>
      <c r="B30" t="str">
        <f t="shared" si="28"/>
        <v>596u</v>
      </c>
      <c r="C30" t="str">
        <f t="shared" si="27"/>
        <v>618u</v>
      </c>
      <c r="D30" t="str">
        <f t="shared" si="27"/>
        <v>738u</v>
      </c>
      <c r="E30" t="str">
        <f t="shared" si="27"/>
        <v>2m</v>
      </c>
      <c r="F30" t="str">
        <f t="shared" si="27"/>
        <v>14m</v>
      </c>
      <c r="G30" t="str">
        <f t="shared" si="27"/>
        <v>20m</v>
      </c>
      <c r="H30" t="str">
        <f t="shared" si="27"/>
        <v>31m</v>
      </c>
      <c r="I30" t="str">
        <f t="shared" si="27"/>
        <v>41m</v>
      </c>
      <c r="J30" t="str">
        <f t="shared" si="27"/>
        <v>51m</v>
      </c>
      <c r="K30" t="str">
        <f t="shared" si="27"/>
        <v>101m</v>
      </c>
      <c r="L30" t="str">
        <f t="shared" si="27"/>
        <v>151m</v>
      </c>
      <c r="M30" t="str">
        <f t="shared" si="27"/>
        <v>201m</v>
      </c>
      <c r="O30" s="11" t="s">
        <v>12</v>
      </c>
      <c r="P30">
        <f>P18*$O18+P$24*P6</f>
        <v>5.9599999999999996E-4</v>
      </c>
      <c r="Q30">
        <f>Q18*$O18+Q$24*Q6</f>
        <v>6.1826000000000003E-4</v>
      </c>
      <c r="R30">
        <f>R18*$O18+R$24*R6</f>
        <v>7.3800000000000005E-4</v>
      </c>
      <c r="S30">
        <f>S18*$O18+S$24*S6</f>
        <v>1.9500000000000001E-3</v>
      </c>
      <c r="T30">
        <f>T18*$O18+T$24*T6</f>
        <v>1.3989E-2</v>
      </c>
      <c r="U30">
        <f>U18*$O18+U$24*U6</f>
        <v>1.9913E-2</v>
      </c>
      <c r="V30">
        <f>V18*$O18+V$24*V6</f>
        <v>3.0713999999999998E-2</v>
      </c>
      <c r="W30">
        <f>W18*$O18+W$24*W6</f>
        <v>4.0714000000000007E-2</v>
      </c>
      <c r="X30">
        <f>X18*$O18+X$24*X6</f>
        <v>5.0714000000000002E-2</v>
      </c>
      <c r="Y30">
        <f>Y18*$O18+Y$24*Y6</f>
        <v>0.10071400000000001</v>
      </c>
      <c r="Z30">
        <f>Z18*$O18+Z$24*Z6</f>
        <v>0.15071400000000001</v>
      </c>
      <c r="AA30">
        <f>AA18*$O18+AA$24*AA6</f>
        <v>0.200714</v>
      </c>
    </row>
    <row r="31" spans="1:41">
      <c r="A31" s="11" t="s">
        <v>11</v>
      </c>
      <c r="B31" t="str">
        <f t="shared" si="28"/>
        <v>54u</v>
      </c>
      <c r="C31" t="str">
        <f t="shared" si="27"/>
        <v>56u</v>
      </c>
      <c r="D31" t="str">
        <f t="shared" si="27"/>
        <v>68u</v>
      </c>
      <c r="E31" t="str">
        <f t="shared" si="27"/>
        <v>189u</v>
      </c>
      <c r="F31" t="str">
        <f t="shared" si="27"/>
        <v>1m</v>
      </c>
      <c r="G31" t="str">
        <f t="shared" si="27"/>
        <v>2m</v>
      </c>
      <c r="H31" t="str">
        <f t="shared" si="27"/>
        <v>3m</v>
      </c>
      <c r="I31" t="str">
        <f t="shared" si="27"/>
        <v>4m</v>
      </c>
      <c r="J31" t="str">
        <f t="shared" si="27"/>
        <v>5m</v>
      </c>
      <c r="K31" t="str">
        <f t="shared" si="27"/>
        <v>10m</v>
      </c>
      <c r="L31" t="str">
        <f t="shared" si="27"/>
        <v>15m</v>
      </c>
      <c r="M31" t="str">
        <f t="shared" si="27"/>
        <v>20m</v>
      </c>
      <c r="O31" s="11" t="s">
        <v>11</v>
      </c>
      <c r="P31">
        <f>P19*$O19+P$24*P7</f>
        <v>5.3499999999999999E-5</v>
      </c>
      <c r="Q31">
        <f>Q19*$O19+Q$24*Q7</f>
        <v>5.5819999999999997E-5</v>
      </c>
      <c r="R31">
        <f>R19*$O19+R$24*R7</f>
        <v>6.7680000000000003E-5</v>
      </c>
      <c r="S31">
        <f>S19*$O19+S$24*S7</f>
        <v>1.8900000000000001E-4</v>
      </c>
      <c r="T31">
        <f>T19*$O19+T$24*T7</f>
        <v>1.3929999999999999E-3</v>
      </c>
      <c r="U31">
        <f>U19*$O19+U$24*U7</f>
        <v>1.9854E-3</v>
      </c>
      <c r="V31">
        <f>V19*$O19+V$24*V7</f>
        <v>3.0655000000000001E-3</v>
      </c>
      <c r="W31">
        <f>W19*$O19+W$24*W7</f>
        <v>4.0654999999999997E-3</v>
      </c>
      <c r="X31">
        <f>X19*$O19+X$24*X7</f>
        <v>5.0654999999999997E-3</v>
      </c>
      <c r="Y31">
        <f>Y19*$O19+Y$24*Y7</f>
        <v>1.00655E-2</v>
      </c>
      <c r="Z31">
        <f>Z19*$O19+Z$24*Z7</f>
        <v>1.5065499999999999E-2</v>
      </c>
      <c r="AA31">
        <f>AA19*$O19+AA$24*AA7</f>
        <v>2.00655E-2</v>
      </c>
    </row>
    <row r="32" spans="1:41">
      <c r="A32" s="11" t="s">
        <v>10</v>
      </c>
      <c r="B32" t="str">
        <f t="shared" si="28"/>
        <v>5u</v>
      </c>
      <c r="C32" t="str">
        <f t="shared" si="27"/>
        <v>5u</v>
      </c>
      <c r="D32" t="str">
        <f t="shared" si="27"/>
        <v>6u</v>
      </c>
      <c r="E32" t="str">
        <f t="shared" si="27"/>
        <v>19u</v>
      </c>
      <c r="F32" t="str">
        <f t="shared" si="27"/>
        <v>139u</v>
      </c>
      <c r="G32" t="str">
        <f t="shared" si="27"/>
        <v>206u</v>
      </c>
      <c r="H32" t="str">
        <f t="shared" si="27"/>
        <v>306u</v>
      </c>
      <c r="I32" t="str">
        <f t="shared" si="27"/>
        <v>406u</v>
      </c>
      <c r="J32" t="str">
        <f t="shared" si="27"/>
        <v>506u</v>
      </c>
      <c r="K32" t="str">
        <f t="shared" si="27"/>
        <v>1m</v>
      </c>
      <c r="L32" t="str">
        <f t="shared" si="27"/>
        <v>2m</v>
      </c>
      <c r="M32" t="str">
        <f t="shared" si="27"/>
        <v>2m</v>
      </c>
      <c r="O32" s="11" t="s">
        <v>10</v>
      </c>
      <c r="P32">
        <f>P20*$O20+P$24*P8</f>
        <v>4.7600000000000002E-6</v>
      </c>
      <c r="Q32">
        <f>Q20*$O20+Q$24*Q8</f>
        <v>4.994E-6</v>
      </c>
      <c r="R32">
        <f>R20*$O20+R$24*R8</f>
        <v>6.19E-6</v>
      </c>
      <c r="S32">
        <f>S20*$O20+S$24*S8</f>
        <v>1.8790000000000001E-5</v>
      </c>
      <c r="T32">
        <f>T20*$O20+T$24*T8</f>
        <v>1.3870000000000001E-4</v>
      </c>
      <c r="U32">
        <f>U20*$O20+U$24*U8</f>
        <v>2.0595000000000002E-4</v>
      </c>
      <c r="V32">
        <f>V20*$O20+V$24*V8</f>
        <v>3.0594999999999998E-4</v>
      </c>
      <c r="W32">
        <f>W20*$O20+W$24*W8</f>
        <v>4.0595000000000003E-4</v>
      </c>
      <c r="X32">
        <f>X20*$O20+X$24*X8</f>
        <v>5.0595000000000002E-4</v>
      </c>
      <c r="Y32">
        <f>Y20*$O20+Y$24*Y8</f>
        <v>1.00595E-3</v>
      </c>
      <c r="Z32">
        <f>Z20*$O20+Z$24*Z8</f>
        <v>1.50595E-3</v>
      </c>
      <c r="AA32">
        <f>AA20*$O20+AA$24*AA8</f>
        <v>2.0059499999999998E-3</v>
      </c>
    </row>
    <row r="33" spans="1:27">
      <c r="A33" s="11" t="s">
        <v>4</v>
      </c>
      <c r="B33" t="str">
        <f t="shared" si="28"/>
        <v>416n</v>
      </c>
      <c r="C33" t="str">
        <f t="shared" si="27"/>
        <v>439n</v>
      </c>
      <c r="D33" t="str">
        <f t="shared" si="27"/>
        <v>559n</v>
      </c>
      <c r="E33" t="str">
        <f t="shared" si="27"/>
        <v>2u</v>
      </c>
      <c r="F33" t="str">
        <f t="shared" si="27"/>
        <v>14u</v>
      </c>
      <c r="G33" t="str">
        <f t="shared" si="27"/>
        <v>21u</v>
      </c>
      <c r="H33" t="str">
        <f t="shared" si="27"/>
        <v>31u</v>
      </c>
      <c r="I33" t="str">
        <f t="shared" si="27"/>
        <v>41u</v>
      </c>
      <c r="J33" t="str">
        <f t="shared" si="27"/>
        <v>51u</v>
      </c>
      <c r="K33" t="str">
        <f t="shared" si="27"/>
        <v>101u</v>
      </c>
      <c r="L33" t="str">
        <f t="shared" si="27"/>
        <v>151u</v>
      </c>
      <c r="M33" t="str">
        <f t="shared" si="27"/>
        <v>201u</v>
      </c>
      <c r="O33" s="11" t="s">
        <v>4</v>
      </c>
      <c r="P33">
        <f>P21*$O21+P$24*P9</f>
        <v>4.1600000000000002E-7</v>
      </c>
      <c r="Q33">
        <f>Q21*$O21+Q$24*Q9</f>
        <v>4.3872E-7</v>
      </c>
      <c r="R33">
        <f>R21*$O21+R$24*R9</f>
        <v>5.5899999999999996E-7</v>
      </c>
      <c r="S33">
        <f>S21*$O21+S$24*S9</f>
        <v>1.7720000000000001E-6</v>
      </c>
      <c r="T33">
        <f>T21*$O21+T$24*T9</f>
        <v>1.3811E-5</v>
      </c>
      <c r="U33">
        <f>U21*$O21+U$24*U9</f>
        <v>2.0534999999999999E-5</v>
      </c>
      <c r="V33">
        <f>V21*$O21+V$24*V9</f>
        <v>3.0534999999999998E-5</v>
      </c>
      <c r="W33">
        <f>W21*$O21+W$24*W9</f>
        <v>4.0534999999999997E-5</v>
      </c>
      <c r="X33">
        <f>X21*$O21+X$24*X9</f>
        <v>5.0534999999999996E-5</v>
      </c>
      <c r="Y33">
        <f>Y21*$O21+Y$24*Y9</f>
        <v>1.0053499999999999E-4</v>
      </c>
      <c r="Z33">
        <f>Z21*$O21+Z$24*Z9</f>
        <v>1.5053499999999998E-4</v>
      </c>
      <c r="AA33">
        <f>AA21*$O21+AA$24*AA9</f>
        <v>2.0053499999999998E-4</v>
      </c>
    </row>
    <row r="34" spans="1:27">
      <c r="A34" s="11">
        <v>0</v>
      </c>
      <c r="B34" t="str">
        <f t="shared" si="28"/>
        <v/>
      </c>
      <c r="C34" t="str">
        <f t="shared" si="27"/>
        <v/>
      </c>
      <c r="D34" t="str">
        <f t="shared" si="27"/>
        <v/>
      </c>
      <c r="E34" t="str">
        <f t="shared" si="27"/>
        <v/>
      </c>
      <c r="F34" t="str">
        <f t="shared" si="27"/>
        <v/>
      </c>
      <c r="G34" t="str">
        <f t="shared" si="27"/>
        <v/>
      </c>
      <c r="H34" t="str">
        <f t="shared" si="27"/>
        <v/>
      </c>
      <c r="I34" t="str">
        <f t="shared" si="27"/>
        <v/>
      </c>
      <c r="J34" t="str">
        <f t="shared" si="27"/>
        <v/>
      </c>
      <c r="K34" t="str">
        <f t="shared" si="27"/>
        <v/>
      </c>
      <c r="L34" t="str">
        <f t="shared" si="27"/>
        <v/>
      </c>
      <c r="M34" t="str">
        <f t="shared" si="27"/>
        <v/>
      </c>
      <c r="O34" s="11">
        <v>0</v>
      </c>
      <c r="P34">
        <f>P22*$O22+P$24*P10</f>
        <v>0</v>
      </c>
      <c r="Q34">
        <f>Q22*$O22+Q$24*Q10</f>
        <v>2.0000000000000002E-15</v>
      </c>
      <c r="R34">
        <f>R22*$O22+R$24*R10</f>
        <v>1.6000000000000001E-14</v>
      </c>
      <c r="S34">
        <f>S22*$O22+S$24*S10</f>
        <v>1.4399999999999999E-13</v>
      </c>
      <c r="T34">
        <f>T22*$O22+T$24*T10</f>
        <v>1.3439999999999999E-12</v>
      </c>
      <c r="U34">
        <f>U22*$O22+U$24*U10</f>
        <v>1.9600000000000001E-12</v>
      </c>
      <c r="V34">
        <f>V22*$O22+V$24*V10</f>
        <v>2.9999999999999997E-12</v>
      </c>
      <c r="W34">
        <f>W22*$O22+W$24*W10</f>
        <v>3.9999999999999999E-12</v>
      </c>
      <c r="X34">
        <f>X22*$O22+X$24*X10</f>
        <v>4.9999999999999997E-12</v>
      </c>
      <c r="Y34">
        <f>Y22*$O22+Y$24*Y10</f>
        <v>9.9999999999999994E-12</v>
      </c>
      <c r="Z34">
        <f>Z22*$O22+Z$24*Z10</f>
        <v>1.5E-11</v>
      </c>
      <c r="AA34">
        <f>AA22*$O22+AA$24*AA10</f>
        <v>1.9999999999999999E-11</v>
      </c>
    </row>
    <row r="35" spans="1:27" ht="15.75" thickBot="1">
      <c r="A35" s="11" t="s">
        <v>104</v>
      </c>
      <c r="B35" t="str">
        <f t="shared" si="28"/>
        <v/>
      </c>
      <c r="C35" t="str">
        <f t="shared" si="27"/>
        <v/>
      </c>
      <c r="D35" t="str">
        <f t="shared" si="27"/>
        <v/>
      </c>
      <c r="E35" t="str">
        <f t="shared" si="27"/>
        <v/>
      </c>
      <c r="F35" t="str">
        <f t="shared" si="27"/>
        <v/>
      </c>
      <c r="G35" t="str">
        <f t="shared" si="27"/>
        <v/>
      </c>
      <c r="H35" t="str">
        <f t="shared" si="27"/>
        <v/>
      </c>
      <c r="I35" t="str">
        <f t="shared" si="27"/>
        <v/>
      </c>
      <c r="J35" t="str">
        <f t="shared" si="27"/>
        <v/>
      </c>
      <c r="K35" t="str">
        <f t="shared" si="27"/>
        <v/>
      </c>
      <c r="L35" t="str">
        <f t="shared" si="27"/>
        <v/>
      </c>
      <c r="M35" t="str">
        <f t="shared" si="27"/>
        <v/>
      </c>
      <c r="O35" s="11" t="s">
        <v>104</v>
      </c>
      <c r="P35">
        <f>P23*$O23+P$24*P11</f>
        <v>9.9999999999999998E-13</v>
      </c>
      <c r="Q35">
        <f>Q23*$O23+Q$24*Q11</f>
        <v>1.002E-12</v>
      </c>
      <c r="R35">
        <f>R23*$O23+R$24*R11</f>
        <v>1.004E-12</v>
      </c>
      <c r="S35">
        <f>S23*$O23+S$24*S11</f>
        <v>1.0079999999999999E-12</v>
      </c>
      <c r="T35">
        <f>T23*$O23+T$24*T11</f>
        <v>1.0159999999999999E-12</v>
      </c>
      <c r="U35">
        <f>U23*$O23+U$24*U11</f>
        <v>1.0199999999999999E-12</v>
      </c>
      <c r="V35">
        <f>V23*$O23+V$24*V11</f>
        <v>1.0300000000000001E-12</v>
      </c>
      <c r="W35">
        <f>W23*$O23+W$24*W11</f>
        <v>1.04E-12</v>
      </c>
      <c r="X35">
        <f>X23*$O23+X$24*X11</f>
        <v>1.05E-12</v>
      </c>
      <c r="Y35">
        <f>Y23*$O23+Y$24*Y11</f>
        <v>1.1E-12</v>
      </c>
      <c r="Z35">
        <f>Z23*$O23+Z$24*Z11</f>
        <v>1.1499999999999999E-12</v>
      </c>
      <c r="AA35">
        <f>AA23*$O23+AA$24*AA11</f>
        <v>1.1999999999999999E-12</v>
      </c>
    </row>
    <row r="36" spans="1:27" ht="15.75" thickBot="1">
      <c r="A36" s="47" t="s">
        <v>108</v>
      </c>
      <c r="B36" s="5">
        <v>0</v>
      </c>
      <c r="C36" s="5">
        <v>0.02</v>
      </c>
      <c r="D36" s="5">
        <v>0.04</v>
      </c>
      <c r="E36" s="5">
        <v>0.08</v>
      </c>
      <c r="F36" s="5">
        <v>0.16</v>
      </c>
      <c r="G36" s="5">
        <v>0.2</v>
      </c>
      <c r="H36" s="5">
        <v>0.3</v>
      </c>
      <c r="I36" s="5">
        <v>0.4</v>
      </c>
      <c r="J36" s="5">
        <v>0.5</v>
      </c>
      <c r="K36" s="5">
        <v>1</v>
      </c>
      <c r="L36" s="5">
        <v>1.5</v>
      </c>
      <c r="M36" s="22">
        <v>2</v>
      </c>
      <c r="N36" s="10" t="s">
        <v>1</v>
      </c>
      <c r="O36" s="9"/>
    </row>
    <row r="37" spans="1:27" ht="15.75" thickBot="1"/>
    <row r="38" spans="1:27" ht="15.75" thickBot="1">
      <c r="A38" s="36" t="s">
        <v>110</v>
      </c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5"/>
    </row>
    <row r="39" spans="1:27" ht="15.75" thickBot="1">
      <c r="A39" s="33" t="s">
        <v>0</v>
      </c>
      <c r="B39" s="2" t="s">
        <v>106</v>
      </c>
      <c r="C39" s="1"/>
    </row>
    <row r="40" spans="1:27">
      <c r="A40" s="12">
        <v>1</v>
      </c>
      <c r="B40" s="40" t="s">
        <v>144</v>
      </c>
      <c r="C40" s="14" t="s">
        <v>145</v>
      </c>
      <c r="D40" s="14" t="s">
        <v>146</v>
      </c>
      <c r="E40" s="14" t="s">
        <v>27</v>
      </c>
      <c r="F40" s="14" t="s">
        <v>27</v>
      </c>
      <c r="G40" s="14" t="s">
        <v>27</v>
      </c>
      <c r="H40" s="14" t="s">
        <v>27</v>
      </c>
      <c r="I40" s="14" t="s">
        <v>27</v>
      </c>
      <c r="J40" s="14" t="s">
        <v>27</v>
      </c>
      <c r="K40" s="14" t="s">
        <v>27</v>
      </c>
      <c r="L40" s="14" t="s">
        <v>27</v>
      </c>
      <c r="M40" s="15" t="s">
        <v>27</v>
      </c>
      <c r="O40" s="27">
        <f>VALUE(RegExpExtract(A40,"(\d|[,-])+"))*IF(RegExpExtract(A40,".$")="m",10^-3,IF(RegExpExtract(A40,".$")="u",10^-6,IF(RegExpExtract(A40,".$")="n",10^-9,IF(RegExpExtract(A40,".$")="p",10^-12,1))))</f>
        <v>1</v>
      </c>
      <c r="P40" s="24">
        <f>VALUE(RegExpExtract(B40,"(\d|[,-])+"))*IF(RegExpExtract(B40,".$")="m",10^-3,IF(RegExpExtract(B40,".$")="u",10^-6,IF(RegExpExtract(B40,".$")="n",10^-9,IF(RegExpExtract(B40,".$")="p",10^-12,1))))</f>
        <v>-0.01</v>
      </c>
      <c r="Q40" s="24">
        <f>VALUE(RegExpExtract(C40,"(\d|[,-])+"))*IF(RegExpExtract(C40,".$")="m",10^-3,IF(RegExpExtract(C40,".$")="u",10^-6,IF(RegExpExtract(C40,".$")="n",10^-9,IF(RegExpExtract(C40,".$")="p",10^-12,1))))</f>
        <v>0.55700000000000005</v>
      </c>
      <c r="R40" s="24">
        <f>VALUE(RegExpExtract(D40,"(\d|[,-])+"))*IF(RegExpExtract(D40,".$")="m",10^-3,IF(RegExpExtract(D40,".$")="u",10^-6,IF(RegExpExtract(D40,".$")="n",10^-9,IF(RegExpExtract(D40,".$")="p",10^-12,1))))</f>
        <v>0.82100000000000006</v>
      </c>
      <c r="S40" s="24">
        <f>VALUE(RegExpExtract(E40,"(\d|[,-])+"))*IF(RegExpExtract(E40,".$")="m",10^-3,IF(RegExpExtract(E40,".$")="u",10^-6,IF(RegExpExtract(E40,".$")="n",10^-9,IF(RegExpExtract(E40,".$")="p",10^-12,1))))</f>
        <v>1</v>
      </c>
      <c r="T40" s="24">
        <f>VALUE(RegExpExtract(F40,"(\d|[,-])+"))*IF(RegExpExtract(F40,".$")="m",10^-3,IF(RegExpExtract(F40,".$")="u",10^-6,IF(RegExpExtract(F40,".$")="n",10^-9,IF(RegExpExtract(F40,".$")="p",10^-12,1))))</f>
        <v>1</v>
      </c>
      <c r="U40" s="24">
        <f>VALUE(RegExpExtract(G40,"(\d|[,-])+"))*IF(RegExpExtract(G40,".$")="m",10^-3,IF(RegExpExtract(G40,".$")="u",10^-6,IF(RegExpExtract(G40,".$")="n",10^-9,IF(RegExpExtract(G40,".$")="p",10^-12,1))))</f>
        <v>1</v>
      </c>
      <c r="V40" s="24">
        <f>VALUE(RegExpExtract(H40,"(\d|[,-])+"))*IF(RegExpExtract(H40,".$")="m",10^-3,IF(RegExpExtract(H40,".$")="u",10^-6,IF(RegExpExtract(H40,".$")="n",10^-9,IF(RegExpExtract(H40,".$")="p",10^-12,1))))</f>
        <v>1</v>
      </c>
      <c r="W40" s="24">
        <f>VALUE(RegExpExtract(I40,"(\d|[,-])+"))*IF(RegExpExtract(I40,".$")="m",10^-3,IF(RegExpExtract(I40,".$")="u",10^-6,IF(RegExpExtract(I40,".$")="n",10^-9,IF(RegExpExtract(I40,".$")="p",10^-12,1))))</f>
        <v>1</v>
      </c>
      <c r="X40" s="24">
        <f>VALUE(RegExpExtract(J40,"(\d|[,-])+"))*IF(RegExpExtract(J40,".$")="m",10^-3,IF(RegExpExtract(J40,".$")="u",10^-6,IF(RegExpExtract(J40,".$")="n",10^-9,IF(RegExpExtract(J40,".$")="p",10^-12,1))))</f>
        <v>1</v>
      </c>
      <c r="Y40" s="24">
        <f>VALUE(RegExpExtract(K40,"(\d|[,-])+"))*IF(RegExpExtract(K40,".$")="m",10^-3,IF(RegExpExtract(K40,".$")="u",10^-6,IF(RegExpExtract(K40,".$")="n",10^-9,IF(RegExpExtract(K40,".$")="p",10^-12,1))))</f>
        <v>1</v>
      </c>
      <c r="Z40" s="24">
        <f>VALUE(RegExpExtract(L40,"(\d|[,-])+"))*IF(RegExpExtract(L40,".$")="m",10^-3,IF(RegExpExtract(L40,".$")="u",10^-6,IF(RegExpExtract(L40,".$")="n",10^-9,IF(RegExpExtract(L40,".$")="p",10^-12,1))))</f>
        <v>1</v>
      </c>
      <c r="AA40" s="24">
        <f>VALUE(RegExpExtract(M40,"(\d|[,-])+"))*IF(RegExpExtract(M40,".$")="m",10^-3,IF(RegExpExtract(M40,".$")="u",10^-6,IF(RegExpExtract(M40,".$")="n",10^-9,IF(RegExpExtract(M40,".$")="p",10^-12,1))))</f>
        <v>1</v>
      </c>
    </row>
    <row r="41" spans="1:27">
      <c r="A41" s="7" t="s">
        <v>14</v>
      </c>
      <c r="B41" s="41" t="s">
        <v>142</v>
      </c>
      <c r="C41" s="17" t="s">
        <v>141</v>
      </c>
      <c r="D41" s="17" t="s">
        <v>140</v>
      </c>
      <c r="E41" s="17" t="s">
        <v>139</v>
      </c>
      <c r="F41" s="17" t="s">
        <v>138</v>
      </c>
      <c r="G41" s="17" t="s">
        <v>14</v>
      </c>
      <c r="H41" s="17" t="s">
        <v>14</v>
      </c>
      <c r="I41" s="17" t="s">
        <v>14</v>
      </c>
      <c r="J41" s="17" t="s">
        <v>14</v>
      </c>
      <c r="K41" s="17" t="s">
        <v>14</v>
      </c>
      <c r="L41" s="17" t="s">
        <v>14</v>
      </c>
      <c r="M41" s="18" t="s">
        <v>14</v>
      </c>
      <c r="O41" s="28">
        <f>VALUE(RegExpExtract(A41,"(\d|[,-])+"))*IF(RegExpExtract(A41,".$")="m",10^-3,IF(RegExpExtract(A41,".$")="u",10^-6,IF(RegExpExtract(A41,".$")="n",10^-9,IF(RegExpExtract(A41,".$")="p",10^-12,1))))</f>
        <v>0.1</v>
      </c>
      <c r="P41" s="24">
        <f>VALUE(RegExpExtract(B41,"(\d|[,-])+"))*IF(RegExpExtract(B41,".$")="m",10^-3,IF(RegExpExtract(B41,".$")="u",10^-6,IF(RegExpExtract(B41,".$")="n",10^-9,IF(RegExpExtract(B41,".$")="p",10^-12,1))))</f>
        <v>-9.859999999999999E-4</v>
      </c>
      <c r="Q41" s="24">
        <f>VALUE(RegExpExtract(C41,"(\d|[,-])+"))*IF(RegExpExtract(C41,".$")="m",10^-3,IF(RegExpExtract(C41,".$")="u",10^-6,IF(RegExpExtract(C41,".$")="n",10^-9,IF(RegExpExtract(C41,".$")="p",10^-12,1))))</f>
        <v>5.2999999999999999E-2</v>
      </c>
      <c r="R41" s="24">
        <f>VALUE(RegExpExtract(D41,"(\d|[,-])+"))*IF(RegExpExtract(D41,".$")="m",10^-3,IF(RegExpExtract(D41,".$")="u",10^-6,IF(RegExpExtract(D41,".$")="n",10^-9,IF(RegExpExtract(D41,".$")="p",10^-12,1))))</f>
        <v>7.8E-2</v>
      </c>
      <c r="S41" s="24">
        <f>VALUE(RegExpExtract(E41,"(\d|[,-])+"))*IF(RegExpExtract(E41,".$")="m",10^-3,IF(RegExpExtract(E41,".$")="u",10^-6,IF(RegExpExtract(E41,".$")="n",10^-9,IF(RegExpExtract(E41,".$")="p",10^-12,1))))</f>
        <v>9.5000000000000001E-2</v>
      </c>
      <c r="T41" s="24">
        <f>VALUE(RegExpExtract(F41,"(\d|[,-])+"))*IF(RegExpExtract(F41,".$")="m",10^-3,IF(RegExpExtract(F41,".$")="u",10^-6,IF(RegExpExtract(F41,".$")="n",10^-9,IF(RegExpExtract(F41,".$")="p",10^-12,1))))</f>
        <v>9.9000000000000005E-2</v>
      </c>
      <c r="U41" s="24">
        <f>VALUE(RegExpExtract(G41,"(\d|[,-])+"))*IF(RegExpExtract(G41,".$")="m",10^-3,IF(RegExpExtract(G41,".$")="u",10^-6,IF(RegExpExtract(G41,".$")="n",10^-9,IF(RegExpExtract(G41,".$")="p",10^-12,1))))</f>
        <v>0.1</v>
      </c>
      <c r="V41" s="24">
        <f>VALUE(RegExpExtract(H41,"(\d|[,-])+"))*IF(RegExpExtract(H41,".$")="m",10^-3,IF(RegExpExtract(H41,".$")="u",10^-6,IF(RegExpExtract(H41,".$")="n",10^-9,IF(RegExpExtract(H41,".$")="p",10^-12,1))))</f>
        <v>0.1</v>
      </c>
      <c r="W41" s="24">
        <f>VALUE(RegExpExtract(I41,"(\d|[,-])+"))*IF(RegExpExtract(I41,".$")="m",10^-3,IF(RegExpExtract(I41,".$")="u",10^-6,IF(RegExpExtract(I41,".$")="n",10^-9,IF(RegExpExtract(I41,".$")="p",10^-12,1))))</f>
        <v>0.1</v>
      </c>
      <c r="X41" s="24">
        <f>VALUE(RegExpExtract(J41,"(\d|[,-])+"))*IF(RegExpExtract(J41,".$")="m",10^-3,IF(RegExpExtract(J41,".$")="u",10^-6,IF(RegExpExtract(J41,".$")="n",10^-9,IF(RegExpExtract(J41,".$")="p",10^-12,1))))</f>
        <v>0.1</v>
      </c>
      <c r="Y41" s="24">
        <f>VALUE(RegExpExtract(K41,"(\d|[,-])+"))*IF(RegExpExtract(K41,".$")="m",10^-3,IF(RegExpExtract(K41,".$")="u",10^-6,IF(RegExpExtract(K41,".$")="n",10^-9,IF(RegExpExtract(K41,".$")="p",10^-12,1))))</f>
        <v>0.1</v>
      </c>
      <c r="Z41" s="24">
        <f>VALUE(RegExpExtract(L41,"(\d|[,-])+"))*IF(RegExpExtract(L41,".$")="m",10^-3,IF(RegExpExtract(L41,".$")="u",10^-6,IF(RegExpExtract(L41,".$")="n",10^-9,IF(RegExpExtract(L41,".$")="p",10^-12,1))))</f>
        <v>0.1</v>
      </c>
      <c r="AA41" s="24">
        <f>VALUE(RegExpExtract(M41,"(\d|[,-])+"))*IF(RegExpExtract(M41,".$")="m",10^-3,IF(RegExpExtract(M41,".$")="u",10^-6,IF(RegExpExtract(M41,".$")="n",10^-9,IF(RegExpExtract(M41,".$")="p",10^-12,1))))</f>
        <v>0.1</v>
      </c>
    </row>
    <row r="42" spans="1:27">
      <c r="A42" s="7" t="s">
        <v>13</v>
      </c>
      <c r="B42" s="41" t="s">
        <v>135</v>
      </c>
      <c r="C42" s="17" t="s">
        <v>136</v>
      </c>
      <c r="D42" s="17" t="s">
        <v>137</v>
      </c>
      <c r="E42" s="17" t="s">
        <v>21</v>
      </c>
      <c r="F42" s="17" t="s">
        <v>13</v>
      </c>
      <c r="G42" s="17" t="s">
        <v>13</v>
      </c>
      <c r="H42" s="17" t="s">
        <v>13</v>
      </c>
      <c r="I42" s="17" t="s">
        <v>13</v>
      </c>
      <c r="J42" s="17" t="s">
        <v>13</v>
      </c>
      <c r="K42" s="17" t="s">
        <v>13</v>
      </c>
      <c r="L42" s="17" t="s">
        <v>13</v>
      </c>
      <c r="M42" s="18" t="s">
        <v>13</v>
      </c>
      <c r="O42" s="28">
        <f>VALUE(RegExpExtract(A42,"(\d|[,-])+"))*IF(RegExpExtract(A42,".$")="m",10^-3,IF(RegExpExtract(A42,".$")="u",10^-6,IF(RegExpExtract(A42,".$")="n",10^-9,IF(RegExpExtract(A42,".$")="p",10^-12,1))))</f>
        <v>0.01</v>
      </c>
      <c r="P42" s="24">
        <f>VALUE(RegExpExtract(B42,"(\d|[,-])+"))*IF(RegExpExtract(B42,".$")="m",10^-3,IF(RegExpExtract(B42,".$")="u",10^-6,IF(RegExpExtract(B42,".$")="n",10^-9,IF(RegExpExtract(B42,".$")="p",10^-12,1))))</f>
        <v>-9.9999999999999991E-5</v>
      </c>
      <c r="Q42" s="24">
        <f>VALUE(RegExpExtract(C42,"(\d|[,-])+"))*IF(RegExpExtract(C42,".$")="m",10^-3,IF(RegExpExtract(C42,".$")="u",10^-6,IF(RegExpExtract(C42,".$")="n",10^-9,IF(RegExpExtract(C42,".$")="p",10^-12,1))))</f>
        <v>5.4000000000000003E-3</v>
      </c>
      <c r="R42" s="24">
        <f>VALUE(RegExpExtract(D42,"(\d|[,-])+"))*IF(RegExpExtract(D42,".$")="m",10^-3,IF(RegExpExtract(D42,".$")="u",10^-6,IF(RegExpExtract(D42,".$")="n",10^-9,IF(RegExpExtract(D42,".$")="p",10^-12,1))))</f>
        <v>7.9000000000000008E-3</v>
      </c>
      <c r="S42" s="24">
        <f>VALUE(RegExpExtract(E42,"(\d|[,-])+"))*IF(RegExpExtract(E42,".$")="m",10^-3,IF(RegExpExtract(E42,".$")="u",10^-6,IF(RegExpExtract(E42,".$")="n",10^-9,IF(RegExpExtract(E42,".$")="p",10^-12,1))))</f>
        <v>9.5999999999999992E-3</v>
      </c>
      <c r="T42" s="24">
        <f>VALUE(RegExpExtract(F42,"(\d|[,-])+"))*IF(RegExpExtract(F42,".$")="m",10^-3,IF(RegExpExtract(F42,".$")="u",10^-6,IF(RegExpExtract(F42,".$")="n",10^-9,IF(RegExpExtract(F42,".$")="p",10^-12,1))))</f>
        <v>0.01</v>
      </c>
      <c r="U42" s="24">
        <f>VALUE(RegExpExtract(G42,"(\d|[,-])+"))*IF(RegExpExtract(G42,".$")="m",10^-3,IF(RegExpExtract(G42,".$")="u",10^-6,IF(RegExpExtract(G42,".$")="n",10^-9,IF(RegExpExtract(G42,".$")="p",10^-12,1))))</f>
        <v>0.01</v>
      </c>
      <c r="V42" s="24">
        <f>VALUE(RegExpExtract(H42,"(\d|[,-])+"))*IF(RegExpExtract(H42,".$")="m",10^-3,IF(RegExpExtract(H42,".$")="u",10^-6,IF(RegExpExtract(H42,".$")="n",10^-9,IF(RegExpExtract(H42,".$")="p",10^-12,1))))</f>
        <v>0.01</v>
      </c>
      <c r="W42" s="24">
        <f>VALUE(RegExpExtract(I42,"(\d|[,-])+"))*IF(RegExpExtract(I42,".$")="m",10^-3,IF(RegExpExtract(I42,".$")="u",10^-6,IF(RegExpExtract(I42,".$")="n",10^-9,IF(RegExpExtract(I42,".$")="p",10^-12,1))))</f>
        <v>0.01</v>
      </c>
      <c r="X42" s="24">
        <f>VALUE(RegExpExtract(J42,"(\d|[,-])+"))*IF(RegExpExtract(J42,".$")="m",10^-3,IF(RegExpExtract(J42,".$")="u",10^-6,IF(RegExpExtract(J42,".$")="n",10^-9,IF(RegExpExtract(J42,".$")="p",10^-12,1))))</f>
        <v>0.01</v>
      </c>
      <c r="Y42" s="24">
        <f>VALUE(RegExpExtract(K42,"(\d|[,-])+"))*IF(RegExpExtract(K42,".$")="m",10^-3,IF(RegExpExtract(K42,".$")="u",10^-6,IF(RegExpExtract(K42,".$")="n",10^-9,IF(RegExpExtract(K42,".$")="p",10^-12,1))))</f>
        <v>0.01</v>
      </c>
      <c r="Z42" s="24">
        <f>VALUE(RegExpExtract(L42,"(\d|[,-])+"))*IF(RegExpExtract(L42,".$")="m",10^-3,IF(RegExpExtract(L42,".$")="u",10^-6,IF(RegExpExtract(L42,".$")="n",10^-9,IF(RegExpExtract(L42,".$")="p",10^-12,1))))</f>
        <v>0.01</v>
      </c>
      <c r="AA42" s="24">
        <f>VALUE(RegExpExtract(M42,"(\d|[,-])+"))*IF(RegExpExtract(M42,".$")="m",10^-3,IF(RegExpExtract(M42,".$")="u",10^-6,IF(RegExpExtract(M42,".$")="n",10^-9,IF(RegExpExtract(M42,".$")="p",10^-12,1))))</f>
        <v>0.01</v>
      </c>
    </row>
    <row r="43" spans="1:27">
      <c r="A43" s="7" t="s">
        <v>12</v>
      </c>
      <c r="B43" s="41" t="s">
        <v>134</v>
      </c>
      <c r="C43" s="17" t="s">
        <v>133</v>
      </c>
      <c r="D43" s="17" t="s">
        <v>132</v>
      </c>
      <c r="E43" s="17" t="s">
        <v>131</v>
      </c>
      <c r="F43" s="17" t="s">
        <v>12</v>
      </c>
      <c r="G43" s="17" t="s">
        <v>12</v>
      </c>
      <c r="H43" s="17" t="s">
        <v>12</v>
      </c>
      <c r="I43" s="17" t="s">
        <v>12</v>
      </c>
      <c r="J43" s="17" t="s">
        <v>12</v>
      </c>
      <c r="K43" s="17" t="s">
        <v>12</v>
      </c>
      <c r="L43" s="17" t="s">
        <v>12</v>
      </c>
      <c r="M43" s="18" t="s">
        <v>12</v>
      </c>
      <c r="O43" s="28">
        <f>VALUE(RegExpExtract(A43,"(\d|[,-])+"))*IF(RegExpExtract(A43,".$")="m",10^-3,IF(RegExpExtract(A43,".$")="u",10^-6,IF(RegExpExtract(A43,".$")="n",10^-9,IF(RegExpExtract(A43,".$")="p",10^-12,1))))</f>
        <v>1E-3</v>
      </c>
      <c r="P43" s="24">
        <f>VALUE(RegExpExtract(B43,"(\d|[,-])+"))*IF(RegExpExtract(B43,".$")="m",10^-3,IF(RegExpExtract(B43,".$")="u",10^-6,IF(RegExpExtract(B43,".$")="n",10^-9,IF(RegExpExtract(B43,".$")="p",10^-12,1))))</f>
        <v>-9.9000000000000001E-6</v>
      </c>
      <c r="Q43" s="24">
        <f>VALUE(RegExpExtract(C43,"(\d|[,-])+"))*IF(RegExpExtract(C43,".$")="m",10^-3,IF(RegExpExtract(C43,".$")="u",10^-6,IF(RegExpExtract(C43,".$")="n",10^-9,IF(RegExpExtract(C43,".$")="p",10^-12,1))))</f>
        <v>5.3299999999999995E-4</v>
      </c>
      <c r="R43" s="24">
        <f>VALUE(RegExpExtract(D43,"(\d|[,-])+"))*IF(RegExpExtract(D43,".$")="m",10^-3,IF(RegExpExtract(D43,".$")="u",10^-6,IF(RegExpExtract(D43,".$")="n",10^-9,IF(RegExpExtract(D43,".$")="p",10^-12,1))))</f>
        <v>7.85E-4</v>
      </c>
      <c r="S43" s="24">
        <f>VALUE(RegExpExtract(E43,"(\d|[,-])+"))*IF(RegExpExtract(E43,".$")="m",10^-3,IF(RegExpExtract(E43,".$")="u",10^-6,IF(RegExpExtract(E43,".$")="n",10^-9,IF(RegExpExtract(E43,".$")="p",10^-12,1))))</f>
        <v>9.5599999999999993E-4</v>
      </c>
      <c r="T43" s="24">
        <f>VALUE(RegExpExtract(F43,"(\d|[,-])+"))*IF(RegExpExtract(F43,".$")="m",10^-3,IF(RegExpExtract(F43,".$")="u",10^-6,IF(RegExpExtract(F43,".$")="n",10^-9,IF(RegExpExtract(F43,".$")="p",10^-12,1))))</f>
        <v>1E-3</v>
      </c>
      <c r="U43" s="24">
        <f>VALUE(RegExpExtract(G43,"(\d|[,-])+"))*IF(RegExpExtract(G43,".$")="m",10^-3,IF(RegExpExtract(G43,".$")="u",10^-6,IF(RegExpExtract(G43,".$")="n",10^-9,IF(RegExpExtract(G43,".$")="p",10^-12,1))))</f>
        <v>1E-3</v>
      </c>
      <c r="V43" s="24">
        <f>VALUE(RegExpExtract(H43,"(\d|[,-])+"))*IF(RegExpExtract(H43,".$")="m",10^-3,IF(RegExpExtract(H43,".$")="u",10^-6,IF(RegExpExtract(H43,".$")="n",10^-9,IF(RegExpExtract(H43,".$")="p",10^-12,1))))</f>
        <v>1E-3</v>
      </c>
      <c r="W43" s="24">
        <f>VALUE(RegExpExtract(I43,"(\d|[,-])+"))*IF(RegExpExtract(I43,".$")="m",10^-3,IF(RegExpExtract(I43,".$")="u",10^-6,IF(RegExpExtract(I43,".$")="n",10^-9,IF(RegExpExtract(I43,".$")="p",10^-12,1))))</f>
        <v>1E-3</v>
      </c>
      <c r="X43" s="24">
        <f>VALUE(RegExpExtract(J43,"(\d|[,-])+"))*IF(RegExpExtract(J43,".$")="m",10^-3,IF(RegExpExtract(J43,".$")="u",10^-6,IF(RegExpExtract(J43,".$")="n",10^-9,IF(RegExpExtract(J43,".$")="p",10^-12,1))))</f>
        <v>1E-3</v>
      </c>
      <c r="Y43" s="24">
        <f>VALUE(RegExpExtract(K43,"(\d|[,-])+"))*IF(RegExpExtract(K43,".$")="m",10^-3,IF(RegExpExtract(K43,".$")="u",10^-6,IF(RegExpExtract(K43,".$")="n",10^-9,IF(RegExpExtract(K43,".$")="p",10^-12,1))))</f>
        <v>1E-3</v>
      </c>
      <c r="Z43" s="24">
        <f>VALUE(RegExpExtract(L43,"(\d|[,-])+"))*IF(RegExpExtract(L43,".$")="m",10^-3,IF(RegExpExtract(L43,".$")="u",10^-6,IF(RegExpExtract(L43,".$")="n",10^-9,IF(RegExpExtract(L43,".$")="p",10^-12,1))))</f>
        <v>1E-3</v>
      </c>
      <c r="AA43" s="24">
        <f>VALUE(RegExpExtract(M43,"(\d|[,-])+"))*IF(RegExpExtract(M43,".$")="m",10^-3,IF(RegExpExtract(M43,".$")="u",10^-6,IF(RegExpExtract(M43,".$")="n",10^-9,IF(RegExpExtract(M43,".$")="p",10^-12,1))))</f>
        <v>1E-3</v>
      </c>
    </row>
    <row r="44" spans="1:27">
      <c r="A44" s="7" t="s">
        <v>11</v>
      </c>
      <c r="B44" s="41" t="s">
        <v>126</v>
      </c>
      <c r="C44" s="17" t="s">
        <v>128</v>
      </c>
      <c r="D44" s="17" t="s">
        <v>129</v>
      </c>
      <c r="E44" s="17" t="s">
        <v>130</v>
      </c>
      <c r="F44" s="17" t="s">
        <v>11</v>
      </c>
      <c r="G44" s="17" t="s">
        <v>11</v>
      </c>
      <c r="H44" s="17" t="s">
        <v>11</v>
      </c>
      <c r="I44" s="17" t="s">
        <v>11</v>
      </c>
      <c r="J44" s="17" t="s">
        <v>11</v>
      </c>
      <c r="K44" s="17" t="s">
        <v>11</v>
      </c>
      <c r="L44" s="17" t="s">
        <v>11</v>
      </c>
      <c r="M44" s="18" t="s">
        <v>11</v>
      </c>
      <c r="O44" s="28">
        <f>VALUE(RegExpExtract(A44,"(\d|[,-])+"))*IF(RegExpExtract(A44,".$")="m",10^-3,IF(RegExpExtract(A44,".$")="u",10^-6,IF(RegExpExtract(A44,".$")="n",10^-9,IF(RegExpExtract(A44,".$")="p",10^-12,1))))</f>
        <v>9.9999999999999991E-5</v>
      </c>
      <c r="P44" s="24">
        <f>VALUE(RegExpExtract(B44,"(\d|[,-])+"))*IF(RegExpExtract(B44,".$")="m",10^-3,IF(RegExpExtract(B44,".$")="u",10^-6,IF(RegExpExtract(B44,".$")="n",10^-9,IF(RegExpExtract(B44,".$")="p",10^-12,1))))</f>
        <v>-9.9300000000000006E-7</v>
      </c>
      <c r="Q44" s="24">
        <f>VALUE(RegExpExtract(C44,"(\d|[,-])+"))*IF(RegExpExtract(C44,".$")="m",10^-3,IF(RegExpExtract(C44,".$")="u",10^-6,IF(RegExpExtract(C44,".$")="n",10^-9,IF(RegExpExtract(C44,".$")="p",10^-12,1))))</f>
        <v>5.3000000000000001E-5</v>
      </c>
      <c r="R44" s="24">
        <f>VALUE(RegExpExtract(D44,"(\d|[,-])+"))*IF(RegExpExtract(D44,".$")="m",10^-3,IF(RegExpExtract(D44,".$")="u",10^-6,IF(RegExpExtract(D44,".$")="n",10^-9,IF(RegExpExtract(D44,".$")="p",10^-12,1))))</f>
        <v>7.8999999999999996E-5</v>
      </c>
      <c r="S44" s="24">
        <f>VALUE(RegExpExtract(E44,"(\d|[,-])+"))*IF(RegExpExtract(E44,".$")="m",10^-3,IF(RegExpExtract(E44,".$")="u",10^-6,IF(RegExpExtract(E44,".$")="n",10^-9,IF(RegExpExtract(E44,".$")="p",10^-12,1))))</f>
        <v>9.6000000000000002E-5</v>
      </c>
      <c r="T44" s="24">
        <f>VALUE(RegExpExtract(F44,"(\d|[,-])+"))*IF(RegExpExtract(F44,".$")="m",10^-3,IF(RegExpExtract(F44,".$")="u",10^-6,IF(RegExpExtract(F44,".$")="n",10^-9,IF(RegExpExtract(F44,".$")="p",10^-12,1))))</f>
        <v>9.9999999999999991E-5</v>
      </c>
      <c r="U44" s="24">
        <f>VALUE(RegExpExtract(G44,"(\d|[,-])+"))*IF(RegExpExtract(G44,".$")="m",10^-3,IF(RegExpExtract(G44,".$")="u",10^-6,IF(RegExpExtract(G44,".$")="n",10^-9,IF(RegExpExtract(G44,".$")="p",10^-12,1))))</f>
        <v>9.9999999999999991E-5</v>
      </c>
      <c r="V44" s="24">
        <f>VALUE(RegExpExtract(H44,"(\d|[,-])+"))*IF(RegExpExtract(H44,".$")="m",10^-3,IF(RegExpExtract(H44,".$")="u",10^-6,IF(RegExpExtract(H44,".$")="n",10^-9,IF(RegExpExtract(H44,".$")="p",10^-12,1))))</f>
        <v>9.9999999999999991E-5</v>
      </c>
      <c r="W44" s="24">
        <f>VALUE(RegExpExtract(I44,"(\d|[,-])+"))*IF(RegExpExtract(I44,".$")="m",10^-3,IF(RegExpExtract(I44,".$")="u",10^-6,IF(RegExpExtract(I44,".$")="n",10^-9,IF(RegExpExtract(I44,".$")="p",10^-12,1))))</f>
        <v>9.9999999999999991E-5</v>
      </c>
      <c r="X44" s="24">
        <f>VALUE(RegExpExtract(J44,"(\d|[,-])+"))*IF(RegExpExtract(J44,".$")="m",10^-3,IF(RegExpExtract(J44,".$")="u",10^-6,IF(RegExpExtract(J44,".$")="n",10^-9,IF(RegExpExtract(J44,".$")="p",10^-12,1))))</f>
        <v>9.9999999999999991E-5</v>
      </c>
      <c r="Y44" s="24">
        <f>VALUE(RegExpExtract(K44,"(\d|[,-])+"))*IF(RegExpExtract(K44,".$")="m",10^-3,IF(RegExpExtract(K44,".$")="u",10^-6,IF(RegExpExtract(K44,".$")="n",10^-9,IF(RegExpExtract(K44,".$")="p",10^-12,1))))</f>
        <v>9.9999999999999991E-5</v>
      </c>
      <c r="Z44" s="24">
        <f>VALUE(RegExpExtract(L44,"(\d|[,-])+"))*IF(RegExpExtract(L44,".$")="m",10^-3,IF(RegExpExtract(L44,".$")="u",10^-6,IF(RegExpExtract(L44,".$")="n",10^-9,IF(RegExpExtract(L44,".$")="p",10^-12,1))))</f>
        <v>9.9999999999999991E-5</v>
      </c>
      <c r="AA44" s="24">
        <f>VALUE(RegExpExtract(M44,"(\d|[,-])+"))*IF(RegExpExtract(M44,".$")="m",10^-3,IF(RegExpExtract(M44,".$")="u",10^-6,IF(RegExpExtract(M44,".$")="n",10^-9,IF(RegExpExtract(M44,".$")="p",10^-12,1))))</f>
        <v>9.9999999999999991E-5</v>
      </c>
    </row>
    <row r="45" spans="1:27">
      <c r="A45" s="7" t="s">
        <v>10</v>
      </c>
      <c r="B45" s="41" t="s">
        <v>125</v>
      </c>
      <c r="C45" s="17" t="s">
        <v>124</v>
      </c>
      <c r="D45" s="17" t="s">
        <v>123</v>
      </c>
      <c r="E45" s="17" t="s">
        <v>122</v>
      </c>
      <c r="F45" s="17" t="s">
        <v>10</v>
      </c>
      <c r="G45" s="17" t="s">
        <v>10</v>
      </c>
      <c r="H45" s="17" t="s">
        <v>10</v>
      </c>
      <c r="I45" s="17" t="s">
        <v>10</v>
      </c>
      <c r="J45" s="17" t="s">
        <v>10</v>
      </c>
      <c r="K45" s="17" t="s">
        <v>10</v>
      </c>
      <c r="L45" s="17" t="s">
        <v>10</v>
      </c>
      <c r="M45" s="18" t="s">
        <v>10</v>
      </c>
      <c r="O45" s="28">
        <f>VALUE(RegExpExtract(A45,"(\d|[,-])+"))*IF(RegExpExtract(A45,".$")="m",10^-3,IF(RegExpExtract(A45,".$")="u",10^-6,IF(RegExpExtract(A45,".$")="n",10^-9,IF(RegExpExtract(A45,".$")="p",10^-12,1))))</f>
        <v>9.9999999999999991E-6</v>
      </c>
      <c r="P45" s="24">
        <f>VALUE(RegExpExtract(B45,"(\d|[,-])+"))*IF(RegExpExtract(B45,".$")="m",10^-3,IF(RegExpExtract(B45,".$")="u",10^-6,IF(RegExpExtract(B45,".$")="n",10^-9,IF(RegExpExtract(B45,".$")="p",10^-12,1))))</f>
        <v>-9.9E-8</v>
      </c>
      <c r="Q45" s="24">
        <f>VALUE(RegExpExtract(C45,"(\d|[,-])+"))*IF(RegExpExtract(C45,".$")="m",10^-3,IF(RegExpExtract(C45,".$")="u",10^-6,IF(RegExpExtract(C45,".$")="n",10^-9,IF(RegExpExtract(C45,".$")="p",10^-12,1))))</f>
        <v>5.2999999999999992E-6</v>
      </c>
      <c r="R45" s="24">
        <f>VALUE(RegExpExtract(D45,"(\d|[,-])+"))*IF(RegExpExtract(D45,".$")="m",10^-3,IF(RegExpExtract(D45,".$")="u",10^-6,IF(RegExpExtract(D45,".$")="n",10^-9,IF(RegExpExtract(D45,".$")="p",10^-12,1))))</f>
        <v>7.7999999999999999E-6</v>
      </c>
      <c r="S45" s="24">
        <f>VALUE(RegExpExtract(E45,"(\d|[,-])+"))*IF(RegExpExtract(E45,".$")="m",10^-3,IF(RegExpExtract(E45,".$")="u",10^-6,IF(RegExpExtract(E45,".$")="n",10^-9,IF(RegExpExtract(E45,".$")="p",10^-12,1))))</f>
        <v>9.4999999999999988E-6</v>
      </c>
      <c r="T45" s="24">
        <f>VALUE(RegExpExtract(F45,"(\d|[,-])+"))*IF(RegExpExtract(F45,".$")="m",10^-3,IF(RegExpExtract(F45,".$")="u",10^-6,IF(RegExpExtract(F45,".$")="n",10^-9,IF(RegExpExtract(F45,".$")="p",10^-12,1))))</f>
        <v>9.9999999999999991E-6</v>
      </c>
      <c r="U45" s="24">
        <f>VALUE(RegExpExtract(G45,"(\d|[,-])+"))*IF(RegExpExtract(G45,".$")="m",10^-3,IF(RegExpExtract(G45,".$")="u",10^-6,IF(RegExpExtract(G45,".$")="n",10^-9,IF(RegExpExtract(G45,".$")="p",10^-12,1))))</f>
        <v>9.9999999999999991E-6</v>
      </c>
      <c r="V45" s="24">
        <f>VALUE(RegExpExtract(H45,"(\d|[,-])+"))*IF(RegExpExtract(H45,".$")="m",10^-3,IF(RegExpExtract(H45,".$")="u",10^-6,IF(RegExpExtract(H45,".$")="n",10^-9,IF(RegExpExtract(H45,".$")="p",10^-12,1))))</f>
        <v>9.9999999999999991E-6</v>
      </c>
      <c r="W45" s="24">
        <f>VALUE(RegExpExtract(I45,"(\d|[,-])+"))*IF(RegExpExtract(I45,".$")="m",10^-3,IF(RegExpExtract(I45,".$")="u",10^-6,IF(RegExpExtract(I45,".$")="n",10^-9,IF(RegExpExtract(I45,".$")="p",10^-12,1))))</f>
        <v>9.9999999999999991E-6</v>
      </c>
      <c r="X45" s="24">
        <f>VALUE(RegExpExtract(J45,"(\d|[,-])+"))*IF(RegExpExtract(J45,".$")="m",10^-3,IF(RegExpExtract(J45,".$")="u",10^-6,IF(RegExpExtract(J45,".$")="n",10^-9,IF(RegExpExtract(J45,".$")="p",10^-12,1))))</f>
        <v>9.9999999999999991E-6</v>
      </c>
      <c r="Y45" s="24">
        <f>VALUE(RegExpExtract(K45,"(\d|[,-])+"))*IF(RegExpExtract(K45,".$")="m",10^-3,IF(RegExpExtract(K45,".$")="u",10^-6,IF(RegExpExtract(K45,".$")="n",10^-9,IF(RegExpExtract(K45,".$")="p",10^-12,1))))</f>
        <v>9.9999999999999991E-6</v>
      </c>
      <c r="Z45" s="24">
        <f>VALUE(RegExpExtract(L45,"(\d|[,-])+"))*IF(RegExpExtract(L45,".$")="m",10^-3,IF(RegExpExtract(L45,".$")="u",10^-6,IF(RegExpExtract(L45,".$")="n",10^-9,IF(RegExpExtract(L45,".$")="p",10^-12,1))))</f>
        <v>9.9999999999999991E-6</v>
      </c>
      <c r="AA45" s="24">
        <f>VALUE(RegExpExtract(M45,"(\d|[,-])+"))*IF(RegExpExtract(M45,".$")="m",10^-3,IF(RegExpExtract(M45,".$")="u",10^-6,IF(RegExpExtract(M45,".$")="n",10^-9,IF(RegExpExtract(M45,".$")="p",10^-12,1))))</f>
        <v>9.9999999999999991E-6</v>
      </c>
    </row>
    <row r="46" spans="1:27">
      <c r="A46" s="7" t="s">
        <v>4</v>
      </c>
      <c r="B46" s="41" t="s">
        <v>116</v>
      </c>
      <c r="C46" s="17" t="s">
        <v>117</v>
      </c>
      <c r="D46" s="17" t="s">
        <v>118</v>
      </c>
      <c r="E46" s="17" t="s">
        <v>119</v>
      </c>
      <c r="F46" s="17" t="s">
        <v>120</v>
      </c>
      <c r="G46" s="17" t="s">
        <v>4</v>
      </c>
      <c r="H46" s="17" t="s">
        <v>4</v>
      </c>
      <c r="I46" s="17" t="s">
        <v>4</v>
      </c>
      <c r="J46" s="17" t="s">
        <v>4</v>
      </c>
      <c r="K46" s="17" t="s">
        <v>4</v>
      </c>
      <c r="L46" s="17" t="s">
        <v>4</v>
      </c>
      <c r="M46" s="18" t="s">
        <v>4</v>
      </c>
      <c r="O46" s="28">
        <f>VALUE(RegExpExtract(A46,"(\d|[,-])+"))*IF(RegExpExtract(A46,".$")="m",10^-3,IF(RegExpExtract(A46,".$")="u",10^-6,IF(RegExpExtract(A46,".$")="n",10^-9,IF(RegExpExtract(A46,".$")="p",10^-12,1))))</f>
        <v>9.9999999999999995E-7</v>
      </c>
      <c r="P46" s="24">
        <f>VALUE(RegExpExtract(B46,"(\d|[,-])+"))*IF(RegExpExtract(B46,".$")="m",10^-3,IF(RegExpExtract(B46,".$")="u",10^-6,IF(RegExpExtract(B46,".$")="n",10^-9,IF(RegExpExtract(B46,".$")="p",10^-12,1))))</f>
        <v>-1E-8</v>
      </c>
      <c r="Q46" s="24">
        <f>VALUE(RegExpExtract(C46,"(\d|[,-])+"))*IF(RegExpExtract(C46,".$")="m",10^-3,IF(RegExpExtract(C46,".$")="u",10^-6,IF(RegExpExtract(C46,".$")="n",10^-9,IF(RegExpExtract(C46,".$")="p",10^-12,1))))</f>
        <v>5.3200000000000005E-7</v>
      </c>
      <c r="R46" s="24">
        <f>VALUE(RegExpExtract(D46,"(\d|[,-])+"))*IF(RegExpExtract(D46,".$")="m",10^-3,IF(RegExpExtract(D46,".$")="u",10^-6,IF(RegExpExtract(D46,".$")="n",10^-9,IF(RegExpExtract(D46,".$")="p",10^-12,1))))</f>
        <v>7.8400000000000003E-7</v>
      </c>
      <c r="S46" s="24">
        <f>VALUE(RegExpExtract(E46,"(\d|[,-])+"))*IF(RegExpExtract(E46,".$")="m",10^-3,IF(RegExpExtract(E46,".$")="u",10^-6,IF(RegExpExtract(E46,".$")="n",10^-9,IF(RegExpExtract(E46,".$")="p",10^-12,1))))</f>
        <v>9.540000000000001E-7</v>
      </c>
      <c r="T46" s="24">
        <f>VALUE(RegExpExtract(F46,"(\d|[,-])+"))*IF(RegExpExtract(F46,".$")="m",10^-3,IF(RegExpExtract(F46,".$")="u",10^-6,IF(RegExpExtract(F46,".$")="n",10^-9,IF(RegExpExtract(F46,".$")="p",10^-12,1))))</f>
        <v>9.9800000000000002E-7</v>
      </c>
      <c r="U46" s="24">
        <f>VALUE(RegExpExtract(G46,"(\d|[,-])+"))*IF(RegExpExtract(G46,".$")="m",10^-3,IF(RegExpExtract(G46,".$")="u",10^-6,IF(RegExpExtract(G46,".$")="n",10^-9,IF(RegExpExtract(G46,".$")="p",10^-12,1))))</f>
        <v>9.9999999999999995E-7</v>
      </c>
      <c r="V46" s="24">
        <f>VALUE(RegExpExtract(H46,"(\d|[,-])+"))*IF(RegExpExtract(H46,".$")="m",10^-3,IF(RegExpExtract(H46,".$")="u",10^-6,IF(RegExpExtract(H46,".$")="n",10^-9,IF(RegExpExtract(H46,".$")="p",10^-12,1))))</f>
        <v>9.9999999999999995E-7</v>
      </c>
      <c r="W46" s="24">
        <f>VALUE(RegExpExtract(I46,"(\d|[,-])+"))*IF(RegExpExtract(I46,".$")="m",10^-3,IF(RegExpExtract(I46,".$")="u",10^-6,IF(RegExpExtract(I46,".$")="n",10^-9,IF(RegExpExtract(I46,".$")="p",10^-12,1))))</f>
        <v>9.9999999999999995E-7</v>
      </c>
      <c r="X46" s="24">
        <f>VALUE(RegExpExtract(J46,"(\d|[,-])+"))*IF(RegExpExtract(J46,".$")="m",10^-3,IF(RegExpExtract(J46,".$")="u",10^-6,IF(RegExpExtract(J46,".$")="n",10^-9,IF(RegExpExtract(J46,".$")="p",10^-12,1))))</f>
        <v>9.9999999999999995E-7</v>
      </c>
      <c r="Y46" s="24">
        <f>VALUE(RegExpExtract(K46,"(\d|[,-])+"))*IF(RegExpExtract(K46,".$")="m",10^-3,IF(RegExpExtract(K46,".$")="u",10^-6,IF(RegExpExtract(K46,".$")="n",10^-9,IF(RegExpExtract(K46,".$")="p",10^-12,1))))</f>
        <v>9.9999999999999995E-7</v>
      </c>
      <c r="Z46" s="24">
        <f>VALUE(RegExpExtract(L46,"(\d|[,-])+"))*IF(RegExpExtract(L46,".$")="m",10^-3,IF(RegExpExtract(L46,".$")="u",10^-6,IF(RegExpExtract(L46,".$")="n",10^-9,IF(RegExpExtract(L46,".$")="p",10^-12,1))))</f>
        <v>9.9999999999999995E-7</v>
      </c>
      <c r="AA46" s="24">
        <f>VALUE(RegExpExtract(M46,"(\d|[,-])+"))*IF(RegExpExtract(M46,".$")="m",10^-3,IF(RegExpExtract(M46,".$")="u",10^-6,IF(RegExpExtract(M46,".$")="n",10^-9,IF(RegExpExtract(M46,".$")="p",10^-12,1))))</f>
        <v>9.9999999999999995E-7</v>
      </c>
    </row>
    <row r="47" spans="1:27">
      <c r="A47" s="7">
        <v>0</v>
      </c>
      <c r="B47" s="42">
        <v>0</v>
      </c>
      <c r="C47" s="17" t="s">
        <v>98</v>
      </c>
      <c r="D47" s="17" t="s">
        <v>99</v>
      </c>
      <c r="E47" s="17" t="s">
        <v>100</v>
      </c>
      <c r="F47" s="17" t="s">
        <v>101</v>
      </c>
      <c r="G47" s="17" t="s">
        <v>102</v>
      </c>
      <c r="H47" s="17" t="s">
        <v>103</v>
      </c>
      <c r="I47" s="17" t="s">
        <v>103</v>
      </c>
      <c r="J47" s="17" t="s">
        <v>103</v>
      </c>
      <c r="K47" s="17" t="s">
        <v>103</v>
      </c>
      <c r="L47" s="17" t="s">
        <v>103</v>
      </c>
      <c r="M47" s="18" t="s">
        <v>103</v>
      </c>
      <c r="O47" s="28">
        <f>VALUE(RegExpExtract(A47,"(\d|[,-])+"))*IF(RegExpExtract(A47,".$")="m",10^-3,IF(RegExpExtract(A47,".$")="u",10^-6,IF(RegExpExtract(A47,".$")="n",10^-9,IF(RegExpExtract(A47,".$")="p",10^-12,1))))</f>
        <v>0</v>
      </c>
      <c r="P47" s="24">
        <f>VALUE(RegExpExtract(B47,"(\d|[,-])+"))*IF(RegExpExtract(B47,".$")="m",10^-3,IF(RegExpExtract(B47,".$")="u",10^-6,IF(RegExpExtract(B47,".$")="n",10^-9,IF(RegExpExtract(B47,".$")="p",10^-12,1))))</f>
        <v>0</v>
      </c>
      <c r="Q47" s="24">
        <f>VALUE(RegExpExtract(C47,"(\d|[,-])+"))*IF(RegExpExtract(C47,".$")="m",10^-3,IF(RegExpExtract(C47,".$")="u",10^-6,IF(RegExpExtract(C47,".$")="n",10^-9,IF(RegExpExtract(C47,".$")="p",10^-12,1))))</f>
        <v>1E-13</v>
      </c>
      <c r="R47" s="24">
        <f>VALUE(RegExpExtract(D47,"(\d|[,-])+"))*IF(RegExpExtract(D47,".$")="m",10^-3,IF(RegExpExtract(D47,".$")="u",10^-6,IF(RegExpExtract(D47,".$")="n",10^-9,IF(RegExpExtract(D47,".$")="p",10^-12,1))))</f>
        <v>4.0000000000000001E-13</v>
      </c>
      <c r="S47" s="24">
        <f>VALUE(RegExpExtract(E47,"(\d|[,-])+"))*IF(RegExpExtract(E47,".$")="m",10^-3,IF(RegExpExtract(E47,".$")="u",10^-6,IF(RegExpExtract(E47,".$")="n",10^-9,IF(RegExpExtract(E47,".$")="p",10^-12,1))))</f>
        <v>1.8E-12</v>
      </c>
      <c r="T47" s="24">
        <f>VALUE(RegExpExtract(F47,"(\d|[,-])+"))*IF(RegExpExtract(F47,".$")="m",10^-3,IF(RegExpExtract(F47,".$")="u",10^-6,IF(RegExpExtract(F47,".$")="n",10^-9,IF(RegExpExtract(F47,".$")="p",10^-12,1))))</f>
        <v>8.3999999999999998E-12</v>
      </c>
      <c r="U47" s="24">
        <f>VALUE(RegExpExtract(G47,"(\d|[,-])+"))*IF(RegExpExtract(G47,".$")="m",10^-3,IF(RegExpExtract(G47,".$")="u",10^-6,IF(RegExpExtract(G47,".$")="n",10^-9,IF(RegExpExtract(G47,".$")="p",10^-12,1))))</f>
        <v>9.8000000000000011E-12</v>
      </c>
      <c r="V47" s="24">
        <f>VALUE(RegExpExtract(H47,"(\d|[,-])+"))*IF(RegExpExtract(H47,".$")="m",10^-3,IF(RegExpExtract(H47,".$")="u",10^-6,IF(RegExpExtract(H47,".$")="n",10^-9,IF(RegExpExtract(H47,".$")="p",10^-12,1))))</f>
        <v>9.9999999999999994E-12</v>
      </c>
      <c r="W47" s="24">
        <f>VALUE(RegExpExtract(I47,"(\d|[,-])+"))*IF(RegExpExtract(I47,".$")="m",10^-3,IF(RegExpExtract(I47,".$")="u",10^-6,IF(RegExpExtract(I47,".$")="n",10^-9,IF(RegExpExtract(I47,".$")="p",10^-12,1))))</f>
        <v>9.9999999999999994E-12</v>
      </c>
      <c r="X47" s="24">
        <f>VALUE(RegExpExtract(J47,"(\d|[,-])+"))*IF(RegExpExtract(J47,".$")="m",10^-3,IF(RegExpExtract(J47,".$")="u",10^-6,IF(RegExpExtract(J47,".$")="n",10^-9,IF(RegExpExtract(J47,".$")="p",10^-12,1))))</f>
        <v>9.9999999999999994E-12</v>
      </c>
      <c r="Y47" s="24">
        <f>VALUE(RegExpExtract(K47,"(\d|[,-])+"))*IF(RegExpExtract(K47,".$")="m",10^-3,IF(RegExpExtract(K47,".$")="u",10^-6,IF(RegExpExtract(K47,".$")="n",10^-9,IF(RegExpExtract(K47,".$")="p",10^-12,1))))</f>
        <v>9.9999999999999994E-12</v>
      </c>
      <c r="Z47" s="24">
        <f>VALUE(RegExpExtract(L47,"(\d|[,-])+"))*IF(RegExpExtract(L47,".$")="m",10^-3,IF(RegExpExtract(L47,".$")="u",10^-6,IF(RegExpExtract(L47,".$")="n",10^-9,IF(RegExpExtract(L47,".$")="p",10^-12,1))))</f>
        <v>9.9999999999999994E-12</v>
      </c>
      <c r="AA47" s="24">
        <f>VALUE(RegExpExtract(M47,"(\d|[,-])+"))*IF(RegExpExtract(M47,".$")="m",10^-3,IF(RegExpExtract(M47,".$")="u",10^-6,IF(RegExpExtract(M47,".$")="n",10^-9,IF(RegExpExtract(M47,".$")="p",10^-12,1))))</f>
        <v>9.9999999999999994E-12</v>
      </c>
    </row>
    <row r="48" spans="1:27" ht="15.75" thickBot="1">
      <c r="A48" s="8" t="s">
        <v>104</v>
      </c>
      <c r="B48" s="43" t="s">
        <v>98</v>
      </c>
      <c r="C48" s="44" t="s">
        <v>98</v>
      </c>
      <c r="D48" s="44" t="s">
        <v>98</v>
      </c>
      <c r="E48" s="44" t="s">
        <v>98</v>
      </c>
      <c r="F48" s="44" t="s">
        <v>98</v>
      </c>
      <c r="G48" s="44" t="s">
        <v>98</v>
      </c>
      <c r="H48" s="44" t="s">
        <v>98</v>
      </c>
      <c r="I48" s="44" t="s">
        <v>98</v>
      </c>
      <c r="J48" s="44" t="s">
        <v>98</v>
      </c>
      <c r="K48" s="44" t="s">
        <v>98</v>
      </c>
      <c r="L48" s="44" t="s">
        <v>98</v>
      </c>
      <c r="M48" s="45" t="s">
        <v>98</v>
      </c>
      <c r="N48" s="25" t="s">
        <v>107</v>
      </c>
      <c r="O48" s="28">
        <f>VALUE(RegExpExtract(A48,"(\d|[,-])+"))*IF(RegExpExtract(A48,".$")="m",10^-3,IF(RegExpExtract(A48,".$")="u",10^-6,IF(RegExpExtract(A48,".$")="n",10^-9,IF(RegExpExtract(A48,".$")="p",10^-12,1))))</f>
        <v>-1E-13</v>
      </c>
      <c r="P48" s="24">
        <f>VALUE(RegExpExtract(B48,"(\d|[,-])+"))*IF(RegExpExtract(B48,".$")="m",10^-3,IF(RegExpExtract(B48,".$")="u",10^-6,IF(RegExpExtract(B48,".$")="n",10^-9,IF(RegExpExtract(B48,".$")="p",10^-12,1))))</f>
        <v>1E-13</v>
      </c>
      <c r="Q48" s="24">
        <f>VALUE(RegExpExtract(C48,"(\d|[,-])+"))*IF(RegExpExtract(C48,".$")="m",10^-3,IF(RegExpExtract(C48,".$")="u",10^-6,IF(RegExpExtract(C48,".$")="n",10^-9,IF(RegExpExtract(C48,".$")="p",10^-12,1))))</f>
        <v>1E-13</v>
      </c>
      <c r="R48" s="24">
        <f>VALUE(RegExpExtract(D48,"(\d|[,-])+"))*IF(RegExpExtract(D48,".$")="m",10^-3,IF(RegExpExtract(D48,".$")="u",10^-6,IF(RegExpExtract(D48,".$")="n",10^-9,IF(RegExpExtract(D48,".$")="p",10^-12,1))))</f>
        <v>1E-13</v>
      </c>
      <c r="S48" s="24">
        <f>VALUE(RegExpExtract(E48,"(\d|[,-])+"))*IF(RegExpExtract(E48,".$")="m",10^-3,IF(RegExpExtract(E48,".$")="u",10^-6,IF(RegExpExtract(E48,".$")="n",10^-9,IF(RegExpExtract(E48,".$")="p",10^-12,1))))</f>
        <v>1E-13</v>
      </c>
      <c r="T48" s="24">
        <f>VALUE(RegExpExtract(F48,"(\d|[,-])+"))*IF(RegExpExtract(F48,".$")="m",10^-3,IF(RegExpExtract(F48,".$")="u",10^-6,IF(RegExpExtract(F48,".$")="n",10^-9,IF(RegExpExtract(F48,".$")="p",10^-12,1))))</f>
        <v>1E-13</v>
      </c>
      <c r="U48" s="24">
        <f>VALUE(RegExpExtract(G48,"(\d|[,-])+"))*IF(RegExpExtract(G48,".$")="m",10^-3,IF(RegExpExtract(G48,".$")="u",10^-6,IF(RegExpExtract(G48,".$")="n",10^-9,IF(RegExpExtract(G48,".$")="p",10^-12,1))))</f>
        <v>1E-13</v>
      </c>
      <c r="V48" s="24">
        <f>VALUE(RegExpExtract(H48,"(\d|[,-])+"))*IF(RegExpExtract(H48,".$")="m",10^-3,IF(RegExpExtract(H48,".$")="u",10^-6,IF(RegExpExtract(H48,".$")="n",10^-9,IF(RegExpExtract(H48,".$")="p",10^-12,1))))</f>
        <v>1E-13</v>
      </c>
      <c r="W48" s="24">
        <f>VALUE(RegExpExtract(I48,"(\d|[,-])+"))*IF(RegExpExtract(I48,".$")="m",10^-3,IF(RegExpExtract(I48,".$")="u",10^-6,IF(RegExpExtract(I48,".$")="n",10^-9,IF(RegExpExtract(I48,".$")="p",10^-12,1))))</f>
        <v>1E-13</v>
      </c>
      <c r="X48" s="24">
        <f>VALUE(RegExpExtract(J48,"(\d|[,-])+"))*IF(RegExpExtract(J48,".$")="m",10^-3,IF(RegExpExtract(J48,".$")="u",10^-6,IF(RegExpExtract(J48,".$")="n",10^-9,IF(RegExpExtract(J48,".$")="p",10^-12,1))))</f>
        <v>1E-13</v>
      </c>
      <c r="Y48" s="24">
        <f>VALUE(RegExpExtract(K48,"(\d|[,-])+"))*IF(RegExpExtract(K48,".$")="m",10^-3,IF(RegExpExtract(K48,".$")="u",10^-6,IF(RegExpExtract(K48,".$")="n",10^-9,IF(RegExpExtract(K48,".$")="p",10^-12,1))))</f>
        <v>1E-13</v>
      </c>
      <c r="Z48" s="24">
        <f>VALUE(RegExpExtract(L48,"(\d|[,-])+"))*IF(RegExpExtract(L48,".$")="m",10^-3,IF(RegExpExtract(L48,".$")="u",10^-6,IF(RegExpExtract(L48,".$")="n",10^-9,IF(RegExpExtract(L48,".$")="p",10^-12,1))))</f>
        <v>1E-13</v>
      </c>
      <c r="AA48" s="24">
        <f>VALUE(RegExpExtract(M48,"(\d|[,-])+"))*IF(RegExpExtract(M48,".$")="m",10^-3,IF(RegExpExtract(M48,".$")="u",10^-6,IF(RegExpExtract(M48,".$")="n",10^-9,IF(RegExpExtract(M48,".$")="p",10^-12,1))))</f>
        <v>1E-13</v>
      </c>
    </row>
    <row r="49" spans="1:27" ht="15.75" thickBot="1">
      <c r="A49" s="47" t="s">
        <v>112</v>
      </c>
      <c r="B49" s="5">
        <v>0</v>
      </c>
      <c r="C49" s="5">
        <v>0.02</v>
      </c>
      <c r="D49" s="5">
        <v>0.04</v>
      </c>
      <c r="E49" s="5">
        <v>0.08</v>
      </c>
      <c r="F49" s="5">
        <v>0.16</v>
      </c>
      <c r="G49" s="5">
        <v>0.2</v>
      </c>
      <c r="H49" s="5">
        <v>0.3</v>
      </c>
      <c r="I49" s="5">
        <v>0.4</v>
      </c>
      <c r="J49" s="5">
        <v>0.5</v>
      </c>
      <c r="K49" s="5">
        <v>1</v>
      </c>
      <c r="L49" s="5">
        <v>1.5</v>
      </c>
      <c r="M49" s="22">
        <v>2</v>
      </c>
      <c r="N49" s="26" t="s">
        <v>111</v>
      </c>
      <c r="O49" s="29"/>
      <c r="P49" s="30">
        <f>VALUE(RegExpExtract(B49,"(\d|[,-])+"))*IF(RegExpExtract(B49,".$")="m",10^-3,IF(RegExpExtract(B49,".$")="u",10^-6,IF(RegExpExtract(B49,".$")="n",10^-9,IF(RegExpExtract(B49,".$")="p",10^-12,1))))</f>
        <v>0</v>
      </c>
      <c r="Q49" s="30">
        <f>VALUE(RegExpExtract(C49,"(\d|[,-])+"))*IF(RegExpExtract(C49,".$")="m",10^-3,IF(RegExpExtract(C49,".$")="u",10^-6,IF(RegExpExtract(C49,".$")="n",10^-9,IF(RegExpExtract(C49,".$")="p",10^-12,1))))</f>
        <v>0.02</v>
      </c>
      <c r="R49" s="30">
        <f>VALUE(RegExpExtract(D49,"(\d|[,-])+"))*IF(RegExpExtract(D49,".$")="m",10^-3,IF(RegExpExtract(D49,".$")="u",10^-6,IF(RegExpExtract(D49,".$")="n",10^-9,IF(RegExpExtract(D49,".$")="p",10^-12,1))))</f>
        <v>0.04</v>
      </c>
      <c r="S49" s="30">
        <f>VALUE(RegExpExtract(E49,"(\d|[,-])+"))*IF(RegExpExtract(E49,".$")="m",10^-3,IF(RegExpExtract(E49,".$")="u",10^-6,IF(RegExpExtract(E49,".$")="n",10^-9,IF(RegExpExtract(E49,".$")="p",10^-12,1))))</f>
        <v>0.08</v>
      </c>
      <c r="T49" s="30">
        <f>VALUE(RegExpExtract(F49,"(\d|[,-])+"))*IF(RegExpExtract(F49,".$")="m",10^-3,IF(RegExpExtract(F49,".$")="u",10^-6,IF(RegExpExtract(F49,".$")="n",10^-9,IF(RegExpExtract(F49,".$")="p",10^-12,1))))</f>
        <v>0.16</v>
      </c>
      <c r="U49" s="30">
        <f>VALUE(RegExpExtract(G49,"(\d|[,-])+"))*IF(RegExpExtract(G49,".$")="m",10^-3,IF(RegExpExtract(G49,".$")="u",10^-6,IF(RegExpExtract(G49,".$")="n",10^-9,IF(RegExpExtract(G49,".$")="p",10^-12,1))))</f>
        <v>0.2</v>
      </c>
      <c r="V49" s="30">
        <f>VALUE(RegExpExtract(H49,"(\d|[,-])+"))*IF(RegExpExtract(H49,".$")="m",10^-3,IF(RegExpExtract(H49,".$")="u",10^-6,IF(RegExpExtract(H49,".$")="n",10^-9,IF(RegExpExtract(H49,".$")="p",10^-12,1))))</f>
        <v>0.3</v>
      </c>
      <c r="W49" s="30">
        <f>VALUE(RegExpExtract(I49,"(\d|[,-])+"))*IF(RegExpExtract(I49,".$")="m",10^-3,IF(RegExpExtract(I49,".$")="u",10^-6,IF(RegExpExtract(I49,".$")="n",10^-9,IF(RegExpExtract(I49,".$")="p",10^-12,1))))</f>
        <v>0.4</v>
      </c>
      <c r="X49" s="30">
        <f>VALUE(RegExpExtract(J49,"(\d|[,-])+"))*IF(RegExpExtract(J49,".$")="m",10^-3,IF(RegExpExtract(J49,".$")="u",10^-6,IF(RegExpExtract(J49,".$")="n",10^-9,IF(RegExpExtract(J49,".$")="p",10^-12,1))))</f>
        <v>0.5</v>
      </c>
      <c r="Y49" s="30">
        <f>VALUE(RegExpExtract(K49,"(\d|[,-])+"))*IF(RegExpExtract(K49,".$")="m",10^-3,IF(RegExpExtract(K49,".$")="u",10^-6,IF(RegExpExtract(K49,".$")="n",10^-9,IF(RegExpExtract(K49,".$")="p",10^-12,1))))</f>
        <v>1</v>
      </c>
      <c r="Z49" s="30">
        <f>VALUE(RegExpExtract(L49,"(\d|[,-])+"))*IF(RegExpExtract(L49,".$")="m",10^-3,IF(RegExpExtract(L49,".$")="u",10^-6,IF(RegExpExtract(L49,".$")="n",10^-9,IF(RegExpExtract(L49,".$")="p",10^-12,1))))</f>
        <v>1.5</v>
      </c>
      <c r="AA49" s="31">
        <f>VALUE(RegExpExtract(M49,"(\d|[,-])+"))*IF(RegExpExtract(M49,".$")="m",10^-3,IF(RegExpExtract(M49,".$")="u",10^-6,IF(RegExpExtract(M49,".$")="n",10^-9,IF(RegExpExtract(M49,".$")="p",10^-12,1))))</f>
        <v>2</v>
      </c>
    </row>
    <row r="50" spans="1:27" ht="15.75" thickBot="1"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</row>
    <row r="51" spans="1:27" ht="15.75" thickBot="1">
      <c r="A51" s="6" t="s">
        <v>0</v>
      </c>
      <c r="B51" s="2" t="s">
        <v>106</v>
      </c>
      <c r="C51" s="1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</row>
    <row r="52" spans="1:27">
      <c r="A52" s="23">
        <v>1</v>
      </c>
      <c r="B52" s="40" t="s">
        <v>143</v>
      </c>
      <c r="C52" s="14" t="s">
        <v>143</v>
      </c>
      <c r="D52" s="14" t="s">
        <v>143</v>
      </c>
      <c r="E52" s="14" t="s">
        <v>143</v>
      </c>
      <c r="F52" s="14" t="s">
        <v>143</v>
      </c>
      <c r="G52" s="14" t="s">
        <v>143</v>
      </c>
      <c r="H52" s="14" t="s">
        <v>143</v>
      </c>
      <c r="I52" s="14" t="s">
        <v>143</v>
      </c>
      <c r="J52" s="14" t="s">
        <v>143</v>
      </c>
      <c r="K52" s="14" t="s">
        <v>143</v>
      </c>
      <c r="L52" s="14" t="s">
        <v>143</v>
      </c>
      <c r="M52" s="15" t="s">
        <v>143</v>
      </c>
      <c r="N52" s="1"/>
      <c r="O52" s="27">
        <f>VALUE(RegExpExtract(A52,"(\d|[,-])+"))*IF(RegExpExtract(A52,".$")="m",10^-3,IF(RegExpExtract(A52,".$")="u",10^-6,IF(RegExpExtract(A52,".$")="n",10^-9,IF(RegExpExtract(A52,".$")="p",10^-12,1))))</f>
        <v>1</v>
      </c>
      <c r="P52" s="24">
        <f>VALUE(RegExpExtract(B52,"(\d|[,-])+"))*IF(RegExpExtract(B52,".$")="m",10^-3,IF(RegExpExtract(B52,".$")="u",10^-6,IF(RegExpExtract(B52,".$")="n",10^-9,IF(RegExpExtract(B52,".$")="p",10^-12,1))))</f>
        <v>0.77500000000000002</v>
      </c>
      <c r="Q52" s="24">
        <f>VALUE(RegExpExtract(C52,"(\d|[,-])+"))*IF(RegExpExtract(C52,".$")="m",10^-3,IF(RegExpExtract(C52,".$")="u",10^-6,IF(RegExpExtract(C52,".$")="n",10^-9,IF(RegExpExtract(C52,".$")="p",10^-12,1))))</f>
        <v>0.77500000000000002</v>
      </c>
      <c r="R52" s="24">
        <f>VALUE(RegExpExtract(D52,"(\d|[,-])+"))*IF(RegExpExtract(D52,".$")="m",10^-3,IF(RegExpExtract(D52,".$")="u",10^-6,IF(RegExpExtract(D52,".$")="n",10^-9,IF(RegExpExtract(D52,".$")="p",10^-12,1))))</f>
        <v>0.77500000000000002</v>
      </c>
      <c r="S52" s="24">
        <f>VALUE(RegExpExtract(E52,"(\d|[,-])+"))*IF(RegExpExtract(E52,".$")="m",10^-3,IF(RegExpExtract(E52,".$")="u",10^-6,IF(RegExpExtract(E52,".$")="n",10^-9,IF(RegExpExtract(E52,".$")="p",10^-12,1))))</f>
        <v>0.77500000000000002</v>
      </c>
      <c r="T52" s="24">
        <f>VALUE(RegExpExtract(F52,"(\d|[,-])+"))*IF(RegExpExtract(F52,".$")="m",10^-3,IF(RegExpExtract(F52,".$")="u",10^-6,IF(RegExpExtract(F52,".$")="n",10^-9,IF(RegExpExtract(F52,".$")="p",10^-12,1))))</f>
        <v>0.77500000000000002</v>
      </c>
      <c r="U52" s="24">
        <f>VALUE(RegExpExtract(G52,"(\d|[,-])+"))*IF(RegExpExtract(G52,".$")="m",10^-3,IF(RegExpExtract(G52,".$")="u",10^-6,IF(RegExpExtract(G52,".$")="n",10^-9,IF(RegExpExtract(G52,".$")="p",10^-12,1))))</f>
        <v>0.77500000000000002</v>
      </c>
      <c r="V52" s="24">
        <f>VALUE(RegExpExtract(H52,"(\d|[,-])+"))*IF(RegExpExtract(H52,".$")="m",10^-3,IF(RegExpExtract(H52,".$")="u",10^-6,IF(RegExpExtract(H52,".$")="n",10^-9,IF(RegExpExtract(H52,".$")="p",10^-12,1))))</f>
        <v>0.77500000000000002</v>
      </c>
      <c r="W52" s="24">
        <f>VALUE(RegExpExtract(I52,"(\d|[,-])+"))*IF(RegExpExtract(I52,".$")="m",10^-3,IF(RegExpExtract(I52,".$")="u",10^-6,IF(RegExpExtract(I52,".$")="n",10^-9,IF(RegExpExtract(I52,".$")="p",10^-12,1))))</f>
        <v>0.77500000000000002</v>
      </c>
      <c r="X52" s="24">
        <f>VALUE(RegExpExtract(J52,"(\d|[,-])+"))*IF(RegExpExtract(J52,".$")="m",10^-3,IF(RegExpExtract(J52,".$")="u",10^-6,IF(RegExpExtract(J52,".$")="n",10^-9,IF(RegExpExtract(J52,".$")="p",10^-12,1))))</f>
        <v>0.77500000000000002</v>
      </c>
      <c r="Y52" s="24">
        <f>VALUE(RegExpExtract(K52,"(\d|[,-])+"))*IF(RegExpExtract(K52,".$")="m",10^-3,IF(RegExpExtract(K52,".$")="u",10^-6,IF(RegExpExtract(K52,".$")="n",10^-9,IF(RegExpExtract(K52,".$")="p",10^-12,1))))</f>
        <v>0.77500000000000002</v>
      </c>
      <c r="Z52" s="24">
        <f>VALUE(RegExpExtract(L52,"(\d|[,-])+"))*IF(RegExpExtract(L52,".$")="m",10^-3,IF(RegExpExtract(L52,".$")="u",10^-6,IF(RegExpExtract(L52,".$")="n",10^-9,IF(RegExpExtract(L52,".$")="p",10^-12,1))))</f>
        <v>0.77500000000000002</v>
      </c>
      <c r="AA52" s="24">
        <f>VALUE(RegExpExtract(M52,"(\d|[,-])+"))*IF(RegExpExtract(M52,".$")="m",10^-3,IF(RegExpExtract(M52,".$")="u",10^-6,IF(RegExpExtract(M52,".$")="n",10^-9,IF(RegExpExtract(M52,".$")="p",10^-12,1))))</f>
        <v>0.77500000000000002</v>
      </c>
    </row>
    <row r="53" spans="1:27">
      <c r="A53" s="11" t="s">
        <v>14</v>
      </c>
      <c r="B53" s="41" t="s">
        <v>26</v>
      </c>
      <c r="C53" s="17" t="s">
        <v>26</v>
      </c>
      <c r="D53" s="17" t="s">
        <v>26</v>
      </c>
      <c r="E53" s="17" t="s">
        <v>26</v>
      </c>
      <c r="F53" s="17" t="s">
        <v>26</v>
      </c>
      <c r="G53" s="17" t="s">
        <v>26</v>
      </c>
      <c r="H53" s="17" t="s">
        <v>26</v>
      </c>
      <c r="I53" s="17" t="s">
        <v>26</v>
      </c>
      <c r="J53" s="17" t="s">
        <v>26</v>
      </c>
      <c r="K53" s="17" t="s">
        <v>26</v>
      </c>
      <c r="L53" s="17" t="s">
        <v>26</v>
      </c>
      <c r="M53" s="18" t="s">
        <v>26</v>
      </c>
      <c r="N53" s="1"/>
      <c r="O53" s="28">
        <f>VALUE(RegExpExtract(A53,"(\d|[,-])+"))*IF(RegExpExtract(A53,".$")="m",10^-3,IF(RegExpExtract(A53,".$")="u",10^-6,IF(RegExpExtract(A53,".$")="n",10^-9,IF(RegExpExtract(A53,".$")="p",10^-12,1))))</f>
        <v>0.1</v>
      </c>
      <c r="P53" s="24">
        <f>VALUE(RegExpExtract(B53,"(\d|[,-])+"))*IF(RegExpExtract(B53,".$")="m",10^-3,IF(RegExpExtract(B53,".$")="u",10^-6,IF(RegExpExtract(B53,".$")="n",10^-9,IF(RegExpExtract(B53,".$")="p",10^-12,1))))</f>
        <v>0.71399999999999997</v>
      </c>
      <c r="Q53" s="24">
        <f>VALUE(RegExpExtract(C53,"(\d|[,-])+"))*IF(RegExpExtract(C53,".$")="m",10^-3,IF(RegExpExtract(C53,".$")="u",10^-6,IF(RegExpExtract(C53,".$")="n",10^-9,IF(RegExpExtract(C53,".$")="p",10^-12,1))))</f>
        <v>0.71399999999999997</v>
      </c>
      <c r="R53" s="24">
        <f>VALUE(RegExpExtract(D53,"(\d|[,-])+"))*IF(RegExpExtract(D53,".$")="m",10^-3,IF(RegExpExtract(D53,".$")="u",10^-6,IF(RegExpExtract(D53,".$")="n",10^-9,IF(RegExpExtract(D53,".$")="p",10^-12,1))))</f>
        <v>0.71399999999999997</v>
      </c>
      <c r="S53" s="24">
        <f>VALUE(RegExpExtract(E53,"(\d|[,-])+"))*IF(RegExpExtract(E53,".$")="m",10^-3,IF(RegExpExtract(E53,".$")="u",10^-6,IF(RegExpExtract(E53,".$")="n",10^-9,IF(RegExpExtract(E53,".$")="p",10^-12,1))))</f>
        <v>0.71399999999999997</v>
      </c>
      <c r="T53" s="24">
        <f>VALUE(RegExpExtract(F53,"(\d|[,-])+"))*IF(RegExpExtract(F53,".$")="m",10^-3,IF(RegExpExtract(F53,".$")="u",10^-6,IF(RegExpExtract(F53,".$")="n",10^-9,IF(RegExpExtract(F53,".$")="p",10^-12,1))))</f>
        <v>0.71399999999999997</v>
      </c>
      <c r="U53" s="24">
        <f>VALUE(RegExpExtract(G53,"(\d|[,-])+"))*IF(RegExpExtract(G53,".$")="m",10^-3,IF(RegExpExtract(G53,".$")="u",10^-6,IF(RegExpExtract(G53,".$")="n",10^-9,IF(RegExpExtract(G53,".$")="p",10^-12,1))))</f>
        <v>0.71399999999999997</v>
      </c>
      <c r="V53" s="24">
        <f>VALUE(RegExpExtract(H53,"(\d|[,-])+"))*IF(RegExpExtract(H53,".$")="m",10^-3,IF(RegExpExtract(H53,".$")="u",10^-6,IF(RegExpExtract(H53,".$")="n",10^-9,IF(RegExpExtract(H53,".$")="p",10^-12,1))))</f>
        <v>0.71399999999999997</v>
      </c>
      <c r="W53" s="24">
        <f>VALUE(RegExpExtract(I53,"(\d|[,-])+"))*IF(RegExpExtract(I53,".$")="m",10^-3,IF(RegExpExtract(I53,".$")="u",10^-6,IF(RegExpExtract(I53,".$")="n",10^-9,IF(RegExpExtract(I53,".$")="p",10^-12,1))))</f>
        <v>0.71399999999999997</v>
      </c>
      <c r="X53" s="24">
        <f>VALUE(RegExpExtract(J53,"(\d|[,-])+"))*IF(RegExpExtract(J53,".$")="m",10^-3,IF(RegExpExtract(J53,".$")="u",10^-6,IF(RegExpExtract(J53,".$")="n",10^-9,IF(RegExpExtract(J53,".$")="p",10^-12,1))))</f>
        <v>0.71399999999999997</v>
      </c>
      <c r="Y53" s="24">
        <f>VALUE(RegExpExtract(K53,"(\d|[,-])+"))*IF(RegExpExtract(K53,".$")="m",10^-3,IF(RegExpExtract(K53,".$")="u",10^-6,IF(RegExpExtract(K53,".$")="n",10^-9,IF(RegExpExtract(K53,".$")="p",10^-12,1))))</f>
        <v>0.71399999999999997</v>
      </c>
      <c r="Z53" s="24">
        <f>VALUE(RegExpExtract(L53,"(\d|[,-])+"))*IF(RegExpExtract(L53,".$")="m",10^-3,IF(RegExpExtract(L53,".$")="u",10^-6,IF(RegExpExtract(L53,".$")="n",10^-9,IF(RegExpExtract(L53,".$")="p",10^-12,1))))</f>
        <v>0.71399999999999997</v>
      </c>
      <c r="AA53" s="24">
        <f>VALUE(RegExpExtract(M53,"(\d|[,-])+"))*IF(RegExpExtract(M53,".$")="m",10^-3,IF(RegExpExtract(M53,".$")="u",10^-6,IF(RegExpExtract(M53,".$")="n",10^-9,IF(RegExpExtract(M53,".$")="p",10^-12,1))))</f>
        <v>0.71399999999999997</v>
      </c>
    </row>
    <row r="54" spans="1:27">
      <c r="A54" s="11" t="s">
        <v>13</v>
      </c>
      <c r="B54" s="41" t="s">
        <v>23</v>
      </c>
      <c r="C54" s="17" t="s">
        <v>23</v>
      </c>
      <c r="D54" s="17" t="s">
        <v>23</v>
      </c>
      <c r="E54" s="17" t="s">
        <v>23</v>
      </c>
      <c r="F54" s="17" t="s">
        <v>23</v>
      </c>
      <c r="G54" s="17" t="s">
        <v>23</v>
      </c>
      <c r="H54" s="17" t="s">
        <v>23</v>
      </c>
      <c r="I54" s="17" t="s">
        <v>23</v>
      </c>
      <c r="J54" s="17" t="s">
        <v>23</v>
      </c>
      <c r="K54" s="17" t="s">
        <v>23</v>
      </c>
      <c r="L54" s="17" t="s">
        <v>23</v>
      </c>
      <c r="M54" s="18" t="s">
        <v>23</v>
      </c>
      <c r="N54" s="1"/>
      <c r="O54" s="28">
        <f>VALUE(RegExpExtract(A54,"(\d|[,-])+"))*IF(RegExpExtract(A54,".$")="m",10^-3,IF(RegExpExtract(A54,".$")="u",10^-6,IF(RegExpExtract(A54,".$")="n",10^-9,IF(RegExpExtract(A54,".$")="p",10^-12,1))))</f>
        <v>0.01</v>
      </c>
      <c r="P54" s="24">
        <f>VALUE(RegExpExtract(B54,"(\d|[,-])+"))*IF(RegExpExtract(B54,".$")="m",10^-3,IF(RegExpExtract(B54,".$")="u",10^-6,IF(RegExpExtract(B54,".$")="n",10^-9,IF(RegExpExtract(B54,".$")="p",10^-12,1))))</f>
        <v>0.65500000000000003</v>
      </c>
      <c r="Q54" s="24">
        <f>VALUE(RegExpExtract(C54,"(\d|[,-])+"))*IF(RegExpExtract(C54,".$")="m",10^-3,IF(RegExpExtract(C54,".$")="u",10^-6,IF(RegExpExtract(C54,".$")="n",10^-9,IF(RegExpExtract(C54,".$")="p",10^-12,1))))</f>
        <v>0.65500000000000003</v>
      </c>
      <c r="R54" s="24">
        <f>VALUE(RegExpExtract(D54,"(\d|[,-])+"))*IF(RegExpExtract(D54,".$")="m",10^-3,IF(RegExpExtract(D54,".$")="u",10^-6,IF(RegExpExtract(D54,".$")="n",10^-9,IF(RegExpExtract(D54,".$")="p",10^-12,1))))</f>
        <v>0.65500000000000003</v>
      </c>
      <c r="S54" s="24">
        <f>VALUE(RegExpExtract(E54,"(\d|[,-])+"))*IF(RegExpExtract(E54,".$")="m",10^-3,IF(RegExpExtract(E54,".$")="u",10^-6,IF(RegExpExtract(E54,".$")="n",10^-9,IF(RegExpExtract(E54,".$")="p",10^-12,1))))</f>
        <v>0.65500000000000003</v>
      </c>
      <c r="T54" s="24">
        <f>VALUE(RegExpExtract(F54,"(\d|[,-])+"))*IF(RegExpExtract(F54,".$")="m",10^-3,IF(RegExpExtract(F54,".$")="u",10^-6,IF(RegExpExtract(F54,".$")="n",10^-9,IF(RegExpExtract(F54,".$")="p",10^-12,1))))</f>
        <v>0.65500000000000003</v>
      </c>
      <c r="U54" s="24">
        <f>VALUE(RegExpExtract(G54,"(\d|[,-])+"))*IF(RegExpExtract(G54,".$")="m",10^-3,IF(RegExpExtract(G54,".$")="u",10^-6,IF(RegExpExtract(G54,".$")="n",10^-9,IF(RegExpExtract(G54,".$")="p",10^-12,1))))</f>
        <v>0.65500000000000003</v>
      </c>
      <c r="V54" s="24">
        <f>VALUE(RegExpExtract(H54,"(\d|[,-])+"))*IF(RegExpExtract(H54,".$")="m",10^-3,IF(RegExpExtract(H54,".$")="u",10^-6,IF(RegExpExtract(H54,".$")="n",10^-9,IF(RegExpExtract(H54,".$")="p",10^-12,1))))</f>
        <v>0.65500000000000003</v>
      </c>
      <c r="W54" s="24">
        <f>VALUE(RegExpExtract(I54,"(\d|[,-])+"))*IF(RegExpExtract(I54,".$")="m",10^-3,IF(RegExpExtract(I54,".$")="u",10^-6,IF(RegExpExtract(I54,".$")="n",10^-9,IF(RegExpExtract(I54,".$")="p",10^-12,1))))</f>
        <v>0.65500000000000003</v>
      </c>
      <c r="X54" s="24">
        <f>VALUE(RegExpExtract(J54,"(\d|[,-])+"))*IF(RegExpExtract(J54,".$")="m",10^-3,IF(RegExpExtract(J54,".$")="u",10^-6,IF(RegExpExtract(J54,".$")="n",10^-9,IF(RegExpExtract(J54,".$")="p",10^-12,1))))</f>
        <v>0.65500000000000003</v>
      </c>
      <c r="Y54" s="24">
        <f>VALUE(RegExpExtract(K54,"(\d|[,-])+"))*IF(RegExpExtract(K54,".$")="m",10^-3,IF(RegExpExtract(K54,".$")="u",10^-6,IF(RegExpExtract(K54,".$")="n",10^-9,IF(RegExpExtract(K54,".$")="p",10^-12,1))))</f>
        <v>0.65500000000000003</v>
      </c>
      <c r="Z54" s="24">
        <f>VALUE(RegExpExtract(L54,"(\d|[,-])+"))*IF(RegExpExtract(L54,".$")="m",10^-3,IF(RegExpExtract(L54,".$")="u",10^-6,IF(RegExpExtract(L54,".$")="n",10^-9,IF(RegExpExtract(L54,".$")="p",10^-12,1))))</f>
        <v>0.65500000000000003</v>
      </c>
      <c r="AA54" s="24">
        <f>VALUE(RegExpExtract(M54,"(\d|[,-])+"))*IF(RegExpExtract(M54,".$")="m",10^-3,IF(RegExpExtract(M54,".$")="u",10^-6,IF(RegExpExtract(M54,".$")="n",10^-9,IF(RegExpExtract(M54,".$")="p",10^-12,1))))</f>
        <v>0.65500000000000003</v>
      </c>
    </row>
    <row r="55" spans="1:27">
      <c r="A55" s="11" t="s">
        <v>12</v>
      </c>
      <c r="B55" s="41" t="s">
        <v>88</v>
      </c>
      <c r="C55" s="17" t="s">
        <v>88</v>
      </c>
      <c r="D55" s="17" t="s">
        <v>88</v>
      </c>
      <c r="E55" s="17" t="s">
        <v>88</v>
      </c>
      <c r="F55" s="17" t="s">
        <v>88</v>
      </c>
      <c r="G55" s="17" t="s">
        <v>88</v>
      </c>
      <c r="H55" s="17" t="s">
        <v>88</v>
      </c>
      <c r="I55" s="17" t="s">
        <v>88</v>
      </c>
      <c r="J55" s="17" t="s">
        <v>88</v>
      </c>
      <c r="K55" s="17" t="s">
        <v>88</v>
      </c>
      <c r="L55" s="17" t="s">
        <v>88</v>
      </c>
      <c r="M55" s="18" t="s">
        <v>88</v>
      </c>
      <c r="N55" s="1"/>
      <c r="O55" s="28">
        <f>VALUE(RegExpExtract(A55,"(\d|[,-])+"))*IF(RegExpExtract(A55,".$")="m",10^-3,IF(RegExpExtract(A55,".$")="u",10^-6,IF(RegExpExtract(A55,".$")="n",10^-9,IF(RegExpExtract(A55,".$")="p",10^-12,1))))</f>
        <v>1E-3</v>
      </c>
      <c r="P55" s="24">
        <f>VALUE(RegExpExtract(B55,"(\d|[,-])+"))*IF(RegExpExtract(B55,".$")="m",10^-3,IF(RegExpExtract(B55,".$")="u",10^-6,IF(RegExpExtract(B55,".$")="n",10^-9,IF(RegExpExtract(B55,".$")="p",10^-12,1))))</f>
        <v>0.59599999999999997</v>
      </c>
      <c r="Q55" s="24">
        <f>VALUE(RegExpExtract(C55,"(\d|[,-])+"))*IF(RegExpExtract(C55,".$")="m",10^-3,IF(RegExpExtract(C55,".$")="u",10^-6,IF(RegExpExtract(C55,".$")="n",10^-9,IF(RegExpExtract(C55,".$")="p",10^-12,1))))</f>
        <v>0.59599999999999997</v>
      </c>
      <c r="R55" s="24">
        <f>VALUE(RegExpExtract(D55,"(\d|[,-])+"))*IF(RegExpExtract(D55,".$")="m",10^-3,IF(RegExpExtract(D55,".$")="u",10^-6,IF(RegExpExtract(D55,".$")="n",10^-9,IF(RegExpExtract(D55,".$")="p",10^-12,1))))</f>
        <v>0.59599999999999997</v>
      </c>
      <c r="S55" s="24">
        <f>VALUE(RegExpExtract(E55,"(\d|[,-])+"))*IF(RegExpExtract(E55,".$")="m",10^-3,IF(RegExpExtract(E55,".$")="u",10^-6,IF(RegExpExtract(E55,".$")="n",10^-9,IF(RegExpExtract(E55,".$")="p",10^-12,1))))</f>
        <v>0.59599999999999997</v>
      </c>
      <c r="T55" s="24">
        <f>VALUE(RegExpExtract(F55,"(\d|[,-])+"))*IF(RegExpExtract(F55,".$")="m",10^-3,IF(RegExpExtract(F55,".$")="u",10^-6,IF(RegExpExtract(F55,".$")="n",10^-9,IF(RegExpExtract(F55,".$")="p",10^-12,1))))</f>
        <v>0.59599999999999997</v>
      </c>
      <c r="U55" s="24">
        <f>VALUE(RegExpExtract(G55,"(\d|[,-])+"))*IF(RegExpExtract(G55,".$")="m",10^-3,IF(RegExpExtract(G55,".$")="u",10^-6,IF(RegExpExtract(G55,".$")="n",10^-9,IF(RegExpExtract(G55,".$")="p",10^-12,1))))</f>
        <v>0.59599999999999997</v>
      </c>
      <c r="V55" s="24">
        <f>VALUE(RegExpExtract(H55,"(\d|[,-])+"))*IF(RegExpExtract(H55,".$")="m",10^-3,IF(RegExpExtract(H55,".$")="u",10^-6,IF(RegExpExtract(H55,".$")="n",10^-9,IF(RegExpExtract(H55,".$")="p",10^-12,1))))</f>
        <v>0.59599999999999997</v>
      </c>
      <c r="W55" s="24">
        <f>VALUE(RegExpExtract(I55,"(\d|[,-])+"))*IF(RegExpExtract(I55,".$")="m",10^-3,IF(RegExpExtract(I55,".$")="u",10^-6,IF(RegExpExtract(I55,".$")="n",10^-9,IF(RegExpExtract(I55,".$")="p",10^-12,1))))</f>
        <v>0.59599999999999997</v>
      </c>
      <c r="X55" s="24">
        <f>VALUE(RegExpExtract(J55,"(\d|[,-])+"))*IF(RegExpExtract(J55,".$")="m",10^-3,IF(RegExpExtract(J55,".$")="u",10^-6,IF(RegExpExtract(J55,".$")="n",10^-9,IF(RegExpExtract(J55,".$")="p",10^-12,1))))</f>
        <v>0.59599999999999997</v>
      </c>
      <c r="Y55" s="24">
        <f>VALUE(RegExpExtract(K55,"(\d|[,-])+"))*IF(RegExpExtract(K55,".$")="m",10^-3,IF(RegExpExtract(K55,".$")="u",10^-6,IF(RegExpExtract(K55,".$")="n",10^-9,IF(RegExpExtract(K55,".$")="p",10^-12,1))))</f>
        <v>0.59599999999999997</v>
      </c>
      <c r="Z55" s="24">
        <f>VALUE(RegExpExtract(L55,"(\d|[,-])+"))*IF(RegExpExtract(L55,".$")="m",10^-3,IF(RegExpExtract(L55,".$")="u",10^-6,IF(RegExpExtract(L55,".$")="n",10^-9,IF(RegExpExtract(L55,".$")="p",10^-12,1))))</f>
        <v>0.59599999999999997</v>
      </c>
      <c r="AA55" s="24">
        <f>VALUE(RegExpExtract(M55,"(\d|[,-])+"))*IF(RegExpExtract(M55,".$")="m",10^-3,IF(RegExpExtract(M55,".$")="u",10^-6,IF(RegExpExtract(M55,".$")="n",10^-9,IF(RegExpExtract(M55,".$")="p",10^-12,1))))</f>
        <v>0.59599999999999997</v>
      </c>
    </row>
    <row r="56" spans="1:27">
      <c r="A56" s="11" t="s">
        <v>11</v>
      </c>
      <c r="B56" s="41" t="s">
        <v>127</v>
      </c>
      <c r="C56" s="17" t="s">
        <v>127</v>
      </c>
      <c r="D56" s="17" t="s">
        <v>127</v>
      </c>
      <c r="E56" s="17" t="s">
        <v>127</v>
      </c>
      <c r="F56" s="17" t="s">
        <v>127</v>
      </c>
      <c r="G56" s="17" t="s">
        <v>127</v>
      </c>
      <c r="H56" s="17" t="s">
        <v>127</v>
      </c>
      <c r="I56" s="17" t="s">
        <v>127</v>
      </c>
      <c r="J56" s="17" t="s">
        <v>127</v>
      </c>
      <c r="K56" s="17" t="s">
        <v>127</v>
      </c>
      <c r="L56" s="17" t="s">
        <v>127</v>
      </c>
      <c r="M56" s="18" t="s">
        <v>127</v>
      </c>
      <c r="N56" s="1"/>
      <c r="O56" s="28">
        <f>VALUE(RegExpExtract(A56,"(\d|[,-])+"))*IF(RegExpExtract(A56,".$")="m",10^-3,IF(RegExpExtract(A56,".$")="u",10^-6,IF(RegExpExtract(A56,".$")="n",10^-9,IF(RegExpExtract(A56,".$")="p",10^-12,1))))</f>
        <v>9.9999999999999991E-5</v>
      </c>
      <c r="P56" s="24">
        <f>VALUE(RegExpExtract(B56,"(\d|[,-])+"))*IF(RegExpExtract(B56,".$")="m",10^-3,IF(RegExpExtract(B56,".$")="u",10^-6,IF(RegExpExtract(B56,".$")="n",10^-9,IF(RegExpExtract(B56,".$")="p",10^-12,1))))</f>
        <v>0.53600000000000003</v>
      </c>
      <c r="Q56" s="24">
        <f>VALUE(RegExpExtract(C56,"(\d|[,-])+"))*IF(RegExpExtract(C56,".$")="m",10^-3,IF(RegExpExtract(C56,".$")="u",10^-6,IF(RegExpExtract(C56,".$")="n",10^-9,IF(RegExpExtract(C56,".$")="p",10^-12,1))))</f>
        <v>0.53600000000000003</v>
      </c>
      <c r="R56" s="24">
        <f>VALUE(RegExpExtract(D56,"(\d|[,-])+"))*IF(RegExpExtract(D56,".$")="m",10^-3,IF(RegExpExtract(D56,".$")="u",10^-6,IF(RegExpExtract(D56,".$")="n",10^-9,IF(RegExpExtract(D56,".$")="p",10^-12,1))))</f>
        <v>0.53600000000000003</v>
      </c>
      <c r="S56" s="24">
        <f>VALUE(RegExpExtract(E56,"(\d|[,-])+"))*IF(RegExpExtract(E56,".$")="m",10^-3,IF(RegExpExtract(E56,".$")="u",10^-6,IF(RegExpExtract(E56,".$")="n",10^-9,IF(RegExpExtract(E56,".$")="p",10^-12,1))))</f>
        <v>0.53600000000000003</v>
      </c>
      <c r="T56" s="24">
        <f>VALUE(RegExpExtract(F56,"(\d|[,-])+"))*IF(RegExpExtract(F56,".$")="m",10^-3,IF(RegExpExtract(F56,".$")="u",10^-6,IF(RegExpExtract(F56,".$")="n",10^-9,IF(RegExpExtract(F56,".$")="p",10^-12,1))))</f>
        <v>0.53600000000000003</v>
      </c>
      <c r="U56" s="24">
        <f>VALUE(RegExpExtract(G56,"(\d|[,-])+"))*IF(RegExpExtract(G56,".$")="m",10^-3,IF(RegExpExtract(G56,".$")="u",10^-6,IF(RegExpExtract(G56,".$")="n",10^-9,IF(RegExpExtract(G56,".$")="p",10^-12,1))))</f>
        <v>0.53600000000000003</v>
      </c>
      <c r="V56" s="24">
        <f>VALUE(RegExpExtract(H56,"(\d|[,-])+"))*IF(RegExpExtract(H56,".$")="m",10^-3,IF(RegExpExtract(H56,".$")="u",10^-6,IF(RegExpExtract(H56,".$")="n",10^-9,IF(RegExpExtract(H56,".$")="p",10^-12,1))))</f>
        <v>0.53600000000000003</v>
      </c>
      <c r="W56" s="24">
        <f>VALUE(RegExpExtract(I56,"(\d|[,-])+"))*IF(RegExpExtract(I56,".$")="m",10^-3,IF(RegExpExtract(I56,".$")="u",10^-6,IF(RegExpExtract(I56,".$")="n",10^-9,IF(RegExpExtract(I56,".$")="p",10^-12,1))))</f>
        <v>0.53600000000000003</v>
      </c>
      <c r="X56" s="24">
        <f>VALUE(RegExpExtract(J56,"(\d|[,-])+"))*IF(RegExpExtract(J56,".$")="m",10^-3,IF(RegExpExtract(J56,".$")="u",10^-6,IF(RegExpExtract(J56,".$")="n",10^-9,IF(RegExpExtract(J56,".$")="p",10^-12,1))))</f>
        <v>0.53600000000000003</v>
      </c>
      <c r="Y56" s="24">
        <f>VALUE(RegExpExtract(K56,"(\d|[,-])+"))*IF(RegExpExtract(K56,".$")="m",10^-3,IF(RegExpExtract(K56,".$")="u",10^-6,IF(RegExpExtract(K56,".$")="n",10^-9,IF(RegExpExtract(K56,".$")="p",10^-12,1))))</f>
        <v>0.53600000000000003</v>
      </c>
      <c r="Z56" s="24">
        <f>VALUE(RegExpExtract(L56,"(\d|[,-])+"))*IF(RegExpExtract(L56,".$")="m",10^-3,IF(RegExpExtract(L56,".$")="u",10^-6,IF(RegExpExtract(L56,".$")="n",10^-9,IF(RegExpExtract(L56,".$")="p",10^-12,1))))</f>
        <v>0.53600000000000003</v>
      </c>
      <c r="AA56" s="24">
        <f>VALUE(RegExpExtract(M56,"(\d|[,-])+"))*IF(RegExpExtract(M56,".$")="m",10^-3,IF(RegExpExtract(M56,".$")="u",10^-6,IF(RegExpExtract(M56,".$")="n",10^-9,IF(RegExpExtract(M56,".$")="p",10^-12,1))))</f>
        <v>0.53600000000000003</v>
      </c>
    </row>
    <row r="57" spans="1:27">
      <c r="A57" s="11" t="s">
        <v>10</v>
      </c>
      <c r="B57" s="41" t="s">
        <v>91</v>
      </c>
      <c r="C57" s="17" t="s">
        <v>91</v>
      </c>
      <c r="D57" s="17" t="s">
        <v>91</v>
      </c>
      <c r="E57" s="17" t="s">
        <v>91</v>
      </c>
      <c r="F57" s="17" t="s">
        <v>91</v>
      </c>
      <c r="G57" s="17" t="s">
        <v>91</v>
      </c>
      <c r="H57" s="17" t="s">
        <v>91</v>
      </c>
      <c r="I57" s="17" t="s">
        <v>91</v>
      </c>
      <c r="J57" s="17" t="s">
        <v>91</v>
      </c>
      <c r="K57" s="17" t="s">
        <v>91</v>
      </c>
      <c r="L57" s="17" t="s">
        <v>91</v>
      </c>
      <c r="M57" s="18" t="s">
        <v>91</v>
      </c>
      <c r="N57" s="1"/>
      <c r="O57" s="28">
        <f>VALUE(RegExpExtract(A57,"(\d|[,-])+"))*IF(RegExpExtract(A57,".$")="m",10^-3,IF(RegExpExtract(A57,".$")="u",10^-6,IF(RegExpExtract(A57,".$")="n",10^-9,IF(RegExpExtract(A57,".$")="p",10^-12,1))))</f>
        <v>9.9999999999999991E-6</v>
      </c>
      <c r="P57" s="24">
        <f>VALUE(RegExpExtract(B57,"(\d|[,-])+"))*IF(RegExpExtract(B57,".$")="m",10^-3,IF(RegExpExtract(B57,".$")="u",10^-6,IF(RegExpExtract(B57,".$")="n",10^-9,IF(RegExpExtract(B57,".$")="p",10^-12,1))))</f>
        <v>0.47600000000000003</v>
      </c>
      <c r="Q57" s="24">
        <f>VALUE(RegExpExtract(C57,"(\d|[,-])+"))*IF(RegExpExtract(C57,".$")="m",10^-3,IF(RegExpExtract(C57,".$")="u",10^-6,IF(RegExpExtract(C57,".$")="n",10^-9,IF(RegExpExtract(C57,".$")="p",10^-12,1))))</f>
        <v>0.47600000000000003</v>
      </c>
      <c r="R57" s="24">
        <f>VALUE(RegExpExtract(D57,"(\d|[,-])+"))*IF(RegExpExtract(D57,".$")="m",10^-3,IF(RegExpExtract(D57,".$")="u",10^-6,IF(RegExpExtract(D57,".$")="n",10^-9,IF(RegExpExtract(D57,".$")="p",10^-12,1))))</f>
        <v>0.47600000000000003</v>
      </c>
      <c r="S57" s="24">
        <f>VALUE(RegExpExtract(E57,"(\d|[,-])+"))*IF(RegExpExtract(E57,".$")="m",10^-3,IF(RegExpExtract(E57,".$")="u",10^-6,IF(RegExpExtract(E57,".$")="n",10^-9,IF(RegExpExtract(E57,".$")="p",10^-12,1))))</f>
        <v>0.47600000000000003</v>
      </c>
      <c r="T57" s="24">
        <f>VALUE(RegExpExtract(F57,"(\d|[,-])+"))*IF(RegExpExtract(F57,".$")="m",10^-3,IF(RegExpExtract(F57,".$")="u",10^-6,IF(RegExpExtract(F57,".$")="n",10^-9,IF(RegExpExtract(F57,".$")="p",10^-12,1))))</f>
        <v>0.47600000000000003</v>
      </c>
      <c r="U57" s="24">
        <f>VALUE(RegExpExtract(G57,"(\d|[,-])+"))*IF(RegExpExtract(G57,".$")="m",10^-3,IF(RegExpExtract(G57,".$")="u",10^-6,IF(RegExpExtract(G57,".$")="n",10^-9,IF(RegExpExtract(G57,".$")="p",10^-12,1))))</f>
        <v>0.47600000000000003</v>
      </c>
      <c r="V57" s="24">
        <f>VALUE(RegExpExtract(H57,"(\d|[,-])+"))*IF(RegExpExtract(H57,".$")="m",10^-3,IF(RegExpExtract(H57,".$")="u",10^-6,IF(RegExpExtract(H57,".$")="n",10^-9,IF(RegExpExtract(H57,".$")="p",10^-12,1))))</f>
        <v>0.47600000000000003</v>
      </c>
      <c r="W57" s="24">
        <f>VALUE(RegExpExtract(I57,"(\d|[,-])+"))*IF(RegExpExtract(I57,".$")="m",10^-3,IF(RegExpExtract(I57,".$")="u",10^-6,IF(RegExpExtract(I57,".$")="n",10^-9,IF(RegExpExtract(I57,".$")="p",10^-12,1))))</f>
        <v>0.47600000000000003</v>
      </c>
      <c r="X57" s="24">
        <f>VALUE(RegExpExtract(J57,"(\d|[,-])+"))*IF(RegExpExtract(J57,".$")="m",10^-3,IF(RegExpExtract(J57,".$")="u",10^-6,IF(RegExpExtract(J57,".$")="n",10^-9,IF(RegExpExtract(J57,".$")="p",10^-12,1))))</f>
        <v>0.47600000000000003</v>
      </c>
      <c r="Y57" s="24">
        <f>VALUE(RegExpExtract(K57,"(\d|[,-])+"))*IF(RegExpExtract(K57,".$")="m",10^-3,IF(RegExpExtract(K57,".$")="u",10^-6,IF(RegExpExtract(K57,".$")="n",10^-9,IF(RegExpExtract(K57,".$")="p",10^-12,1))))</f>
        <v>0.47600000000000003</v>
      </c>
      <c r="Z57" s="24">
        <f>VALUE(RegExpExtract(L57,"(\d|[,-])+"))*IF(RegExpExtract(L57,".$")="m",10^-3,IF(RegExpExtract(L57,".$")="u",10^-6,IF(RegExpExtract(L57,".$")="n",10^-9,IF(RegExpExtract(L57,".$")="p",10^-12,1))))</f>
        <v>0.47600000000000003</v>
      </c>
      <c r="AA57" s="24">
        <f>VALUE(RegExpExtract(M57,"(\d|[,-])+"))*IF(RegExpExtract(M57,".$")="m",10^-3,IF(RegExpExtract(M57,".$")="u",10^-6,IF(RegExpExtract(M57,".$")="n",10^-9,IF(RegExpExtract(M57,".$")="p",10^-12,1))))</f>
        <v>0.47600000000000003</v>
      </c>
    </row>
    <row r="58" spans="1:27">
      <c r="A58" s="11" t="s">
        <v>4</v>
      </c>
      <c r="B58" s="41" t="s">
        <v>9</v>
      </c>
      <c r="C58" s="17" t="s">
        <v>9</v>
      </c>
      <c r="D58" s="17" t="s">
        <v>9</v>
      </c>
      <c r="E58" s="17" t="s">
        <v>9</v>
      </c>
      <c r="F58" s="17" t="s">
        <v>121</v>
      </c>
      <c r="G58" s="17" t="s">
        <v>121</v>
      </c>
      <c r="H58" s="17" t="s">
        <v>121</v>
      </c>
      <c r="I58" s="17" t="s">
        <v>121</v>
      </c>
      <c r="J58" s="17" t="s">
        <v>121</v>
      </c>
      <c r="K58" s="17" t="s">
        <v>121</v>
      </c>
      <c r="L58" s="17" t="s">
        <v>121</v>
      </c>
      <c r="M58" s="18" t="s">
        <v>121</v>
      </c>
      <c r="N58" s="1"/>
      <c r="O58" s="28">
        <f>VALUE(RegExpExtract(A58,"(\d|[,-])+"))*IF(RegExpExtract(A58,".$")="m",10^-3,IF(RegExpExtract(A58,".$")="u",10^-6,IF(RegExpExtract(A58,".$")="n",10^-9,IF(RegExpExtract(A58,".$")="p",10^-12,1))))</f>
        <v>9.9999999999999995E-7</v>
      </c>
      <c r="P58" s="24">
        <f>VALUE(RegExpExtract(B58,"(\d|[,-])+"))*IF(RegExpExtract(B58,".$")="m",10^-3,IF(RegExpExtract(B58,".$")="u",10^-6,IF(RegExpExtract(B58,".$")="n",10^-9,IF(RegExpExtract(B58,".$")="p",10^-12,1))))</f>
        <v>0.41600000000000004</v>
      </c>
      <c r="Q58" s="24">
        <f>VALUE(RegExpExtract(C58,"(\d|[,-])+"))*IF(RegExpExtract(C58,".$")="m",10^-3,IF(RegExpExtract(C58,".$")="u",10^-6,IF(RegExpExtract(C58,".$")="n",10^-9,IF(RegExpExtract(C58,".$")="p",10^-12,1))))</f>
        <v>0.41600000000000004</v>
      </c>
      <c r="R58" s="24">
        <f>VALUE(RegExpExtract(D58,"(\d|[,-])+"))*IF(RegExpExtract(D58,".$")="m",10^-3,IF(RegExpExtract(D58,".$")="u",10^-6,IF(RegExpExtract(D58,".$")="n",10^-9,IF(RegExpExtract(D58,".$")="p",10^-12,1))))</f>
        <v>0.41600000000000004</v>
      </c>
      <c r="S58" s="24">
        <f>VALUE(RegExpExtract(E58,"(\d|[,-])+"))*IF(RegExpExtract(E58,".$")="m",10^-3,IF(RegExpExtract(E58,".$")="u",10^-6,IF(RegExpExtract(E58,".$")="n",10^-9,IF(RegExpExtract(E58,".$")="p",10^-12,1))))</f>
        <v>0.41600000000000004</v>
      </c>
      <c r="T58" s="24">
        <f>VALUE(RegExpExtract(F58,"(\d|[,-])+"))*IF(RegExpExtract(F58,".$")="m",10^-3,IF(RegExpExtract(F58,".$")="u",10^-6,IF(RegExpExtract(F58,".$")="n",10^-9,IF(RegExpExtract(F58,".$")="p",10^-12,1))))</f>
        <v>0.41699999999999998</v>
      </c>
      <c r="U58" s="24">
        <f>VALUE(RegExpExtract(G58,"(\d|[,-])+"))*IF(RegExpExtract(G58,".$")="m",10^-3,IF(RegExpExtract(G58,".$")="u",10^-6,IF(RegExpExtract(G58,".$")="n",10^-9,IF(RegExpExtract(G58,".$")="p",10^-12,1))))</f>
        <v>0.41699999999999998</v>
      </c>
      <c r="V58" s="24">
        <f>VALUE(RegExpExtract(H58,"(\d|[,-])+"))*IF(RegExpExtract(H58,".$")="m",10^-3,IF(RegExpExtract(H58,".$")="u",10^-6,IF(RegExpExtract(H58,".$")="n",10^-9,IF(RegExpExtract(H58,".$")="p",10^-12,1))))</f>
        <v>0.41699999999999998</v>
      </c>
      <c r="W58" s="24">
        <f>VALUE(RegExpExtract(I58,"(\d|[,-])+"))*IF(RegExpExtract(I58,".$")="m",10^-3,IF(RegExpExtract(I58,".$")="u",10^-6,IF(RegExpExtract(I58,".$")="n",10^-9,IF(RegExpExtract(I58,".$")="p",10^-12,1))))</f>
        <v>0.41699999999999998</v>
      </c>
      <c r="X58" s="24">
        <f>VALUE(RegExpExtract(J58,"(\d|[,-])+"))*IF(RegExpExtract(J58,".$")="m",10^-3,IF(RegExpExtract(J58,".$")="u",10^-6,IF(RegExpExtract(J58,".$")="n",10^-9,IF(RegExpExtract(J58,".$")="p",10^-12,1))))</f>
        <v>0.41699999999999998</v>
      </c>
      <c r="Y58" s="24">
        <f>VALUE(RegExpExtract(K58,"(\d|[,-])+"))*IF(RegExpExtract(K58,".$")="m",10^-3,IF(RegExpExtract(K58,".$")="u",10^-6,IF(RegExpExtract(K58,".$")="n",10^-9,IF(RegExpExtract(K58,".$")="p",10^-12,1))))</f>
        <v>0.41699999999999998</v>
      </c>
      <c r="Z58" s="24">
        <f>VALUE(RegExpExtract(L58,"(\d|[,-])+"))*IF(RegExpExtract(L58,".$")="m",10^-3,IF(RegExpExtract(L58,".$")="u",10^-6,IF(RegExpExtract(L58,".$")="n",10^-9,IF(RegExpExtract(L58,".$")="p",10^-12,1))))</f>
        <v>0.41699999999999998</v>
      </c>
      <c r="AA58" s="24">
        <f>VALUE(RegExpExtract(M58,"(\d|[,-])+"))*IF(RegExpExtract(M58,".$")="m",10^-3,IF(RegExpExtract(M58,".$")="u",10^-6,IF(RegExpExtract(M58,".$")="n",10^-9,IF(RegExpExtract(M58,".$")="p",10^-12,1))))</f>
        <v>0.41699999999999998</v>
      </c>
    </row>
    <row r="59" spans="1:27">
      <c r="A59" s="11">
        <v>0</v>
      </c>
      <c r="B59" s="46">
        <v>0</v>
      </c>
      <c r="C59" s="17" t="s">
        <v>92</v>
      </c>
      <c r="D59" s="17" t="s">
        <v>93</v>
      </c>
      <c r="E59" s="17" t="s">
        <v>94</v>
      </c>
      <c r="F59" s="17" t="s">
        <v>95</v>
      </c>
      <c r="G59" s="17" t="s">
        <v>96</v>
      </c>
      <c r="H59" s="17" t="s">
        <v>97</v>
      </c>
      <c r="I59" s="17" t="s">
        <v>97</v>
      </c>
      <c r="J59" s="17" t="s">
        <v>97</v>
      </c>
      <c r="K59" s="17" t="s">
        <v>97</v>
      </c>
      <c r="L59" s="17" t="s">
        <v>97</v>
      </c>
      <c r="M59" s="18" t="s">
        <v>97</v>
      </c>
      <c r="N59" s="1"/>
      <c r="O59" s="28">
        <f>VALUE(RegExpExtract(A59,"(\d|[,-])+"))*IF(RegExpExtract(A59,".$")="m",10^-3,IF(RegExpExtract(A59,".$")="u",10^-6,IF(RegExpExtract(A59,".$")="n",10^-9,IF(RegExpExtract(A59,".$")="p",10^-12,1))))</f>
        <v>0</v>
      </c>
      <c r="P59" s="24">
        <f>VALUE(RegExpExtract(B59,"(\d|[,-])+"))*IF(RegExpExtract(B59,".$")="m",10^-3,IF(RegExpExtract(B59,".$")="u",10^-6,IF(RegExpExtract(B59,".$")="n",10^-9,IF(RegExpExtract(B59,".$")="p",10^-12,1))))</f>
        <v>0</v>
      </c>
      <c r="Q59" s="24">
        <f>VALUE(RegExpExtract(C59,"(\d|[,-])+"))*IF(RegExpExtract(C59,".$")="m",10^-3,IF(RegExpExtract(C59,".$")="u",10^-6,IF(RegExpExtract(C59,".$")="n",10^-9,IF(RegExpExtract(C59,".$")="p",10^-12,1))))</f>
        <v>1.9E-2</v>
      </c>
      <c r="R59" s="24">
        <f>VALUE(RegExpExtract(D59,"(\d|[,-])+"))*IF(RegExpExtract(D59,".$")="m",10^-3,IF(RegExpExtract(D59,".$")="u",10^-6,IF(RegExpExtract(D59,".$")="n",10^-9,IF(RegExpExtract(D59,".$")="p",10^-12,1))))</f>
        <v>3.9E-2</v>
      </c>
      <c r="S59" s="24">
        <f>VALUE(RegExpExtract(E59,"(\d|[,-])+"))*IF(RegExpExtract(E59,".$")="m",10^-3,IF(RegExpExtract(E59,".$")="u",10^-6,IF(RegExpExtract(E59,".$")="n",10^-9,IF(RegExpExtract(E59,".$")="p",10^-12,1))))</f>
        <v>7.4999999999999997E-2</v>
      </c>
      <c r="T59" s="24">
        <f>VALUE(RegExpExtract(F59,"(\d|[,-])+"))*IF(RegExpExtract(F59,".$")="m",10^-3,IF(RegExpExtract(F59,".$")="u",10^-6,IF(RegExpExtract(F59,".$")="n",10^-9,IF(RegExpExtract(F59,".$")="p",10^-12,1))))</f>
        <v>0.114</v>
      </c>
      <c r="U59" s="24">
        <f>VALUE(RegExpExtract(G59,"(\d|[,-])+"))*IF(RegExpExtract(G59,".$")="m",10^-3,IF(RegExpExtract(G59,".$")="u",10^-6,IF(RegExpExtract(G59,".$")="n",10^-9,IF(RegExpExtract(G59,".$")="p",10^-12,1))))</f>
        <v>0.11800000000000001</v>
      </c>
      <c r="V59" s="24">
        <f>VALUE(RegExpExtract(H59,"(\d|[,-])+"))*IF(RegExpExtract(H59,".$")="m",10^-3,IF(RegExpExtract(H59,".$")="u",10^-6,IF(RegExpExtract(H59,".$")="n",10^-9,IF(RegExpExtract(H59,".$")="p",10^-12,1))))</f>
        <v>0.11900000000000001</v>
      </c>
      <c r="W59" s="24">
        <f>VALUE(RegExpExtract(I59,"(\d|[,-])+"))*IF(RegExpExtract(I59,".$")="m",10^-3,IF(RegExpExtract(I59,".$")="u",10^-6,IF(RegExpExtract(I59,".$")="n",10^-9,IF(RegExpExtract(I59,".$")="p",10^-12,1))))</f>
        <v>0.11900000000000001</v>
      </c>
      <c r="X59" s="24">
        <f>VALUE(RegExpExtract(J59,"(\d|[,-])+"))*IF(RegExpExtract(J59,".$")="m",10^-3,IF(RegExpExtract(J59,".$")="u",10^-6,IF(RegExpExtract(J59,".$")="n",10^-9,IF(RegExpExtract(J59,".$")="p",10^-12,1))))</f>
        <v>0.11900000000000001</v>
      </c>
      <c r="Y59" s="24">
        <f>VALUE(RegExpExtract(K59,"(\d|[,-])+"))*IF(RegExpExtract(K59,".$")="m",10^-3,IF(RegExpExtract(K59,".$")="u",10^-6,IF(RegExpExtract(K59,".$")="n",10^-9,IF(RegExpExtract(K59,".$")="p",10^-12,1))))</f>
        <v>0.11900000000000001</v>
      </c>
      <c r="Z59" s="24">
        <f>VALUE(RegExpExtract(L59,"(\d|[,-])+"))*IF(RegExpExtract(L59,".$")="m",10^-3,IF(RegExpExtract(L59,".$")="u",10^-6,IF(RegExpExtract(L59,".$")="n",10^-9,IF(RegExpExtract(L59,".$")="p",10^-12,1))))</f>
        <v>0.11900000000000001</v>
      </c>
      <c r="AA59" s="24">
        <f>VALUE(RegExpExtract(M59,"(\d|[,-])+"))*IF(RegExpExtract(M59,".$")="m",10^-3,IF(RegExpExtract(M59,".$")="u",10^-6,IF(RegExpExtract(M59,".$")="n",10^-9,IF(RegExpExtract(M59,".$")="p",10^-12,1))))</f>
        <v>0.11900000000000001</v>
      </c>
    </row>
    <row r="60" spans="1:27" ht="15.75" thickBot="1">
      <c r="A60" s="11" t="s">
        <v>104</v>
      </c>
      <c r="B60" s="43" t="s">
        <v>105</v>
      </c>
      <c r="C60" s="44" t="s">
        <v>105</v>
      </c>
      <c r="D60" s="44" t="s">
        <v>105</v>
      </c>
      <c r="E60" s="44" t="s">
        <v>105</v>
      </c>
      <c r="F60" s="44" t="s">
        <v>105</v>
      </c>
      <c r="G60" s="44" t="s">
        <v>105</v>
      </c>
      <c r="H60" s="44" t="s">
        <v>105</v>
      </c>
      <c r="I60" s="44" t="s">
        <v>105</v>
      </c>
      <c r="J60" s="44" t="s">
        <v>105</v>
      </c>
      <c r="K60" s="44" t="s">
        <v>105</v>
      </c>
      <c r="L60" s="44" t="s">
        <v>105</v>
      </c>
      <c r="M60" s="45" t="s">
        <v>105</v>
      </c>
      <c r="N60" s="4" t="s">
        <v>107</v>
      </c>
      <c r="O60" s="28">
        <f>VALUE(RegExpExtract(A60,"(\d|[,-])+"))*IF(RegExpExtract(A60,".$")="m",10^-3,IF(RegExpExtract(A60,".$")="u",10^-6,IF(RegExpExtract(A60,".$")="n",10^-9,IF(RegExpExtract(A60,".$")="p",10^-12,1))))</f>
        <v>-1E-13</v>
      </c>
      <c r="P60" s="24">
        <f>VALUE(RegExpExtract(B60,"(\d|[,-])+"))*IF(RegExpExtract(B60,".$")="m",10^-3,IF(RegExpExtract(B60,".$")="u",10^-6,IF(RegExpExtract(B60,".$")="n",10^-9,IF(RegExpExtract(B60,".$")="p",10^-12,1))))</f>
        <v>-10</v>
      </c>
      <c r="Q60" s="24">
        <f>VALUE(RegExpExtract(C60,"(\d|[,-])+"))*IF(RegExpExtract(C60,".$")="m",10^-3,IF(RegExpExtract(C60,".$")="u",10^-6,IF(RegExpExtract(C60,".$")="n",10^-9,IF(RegExpExtract(C60,".$")="p",10^-12,1))))</f>
        <v>-10</v>
      </c>
      <c r="R60" s="24">
        <f>VALUE(RegExpExtract(D60,"(\d|[,-])+"))*IF(RegExpExtract(D60,".$")="m",10^-3,IF(RegExpExtract(D60,".$")="u",10^-6,IF(RegExpExtract(D60,".$")="n",10^-9,IF(RegExpExtract(D60,".$")="p",10^-12,1))))</f>
        <v>-10</v>
      </c>
      <c r="S60" s="24">
        <f>VALUE(RegExpExtract(E60,"(\d|[,-])+"))*IF(RegExpExtract(E60,".$")="m",10^-3,IF(RegExpExtract(E60,".$")="u",10^-6,IF(RegExpExtract(E60,".$")="n",10^-9,IF(RegExpExtract(E60,".$")="p",10^-12,1))))</f>
        <v>-10</v>
      </c>
      <c r="T60" s="24">
        <f>VALUE(RegExpExtract(F60,"(\d|[,-])+"))*IF(RegExpExtract(F60,".$")="m",10^-3,IF(RegExpExtract(F60,".$")="u",10^-6,IF(RegExpExtract(F60,".$")="n",10^-9,IF(RegExpExtract(F60,".$")="p",10^-12,1))))</f>
        <v>-10</v>
      </c>
      <c r="U60" s="24">
        <f>VALUE(RegExpExtract(G60,"(\d|[,-])+"))*IF(RegExpExtract(G60,".$")="m",10^-3,IF(RegExpExtract(G60,".$")="u",10^-6,IF(RegExpExtract(G60,".$")="n",10^-9,IF(RegExpExtract(G60,".$")="p",10^-12,1))))</f>
        <v>-10</v>
      </c>
      <c r="V60" s="24">
        <f>VALUE(RegExpExtract(H60,"(\d|[,-])+"))*IF(RegExpExtract(H60,".$")="m",10^-3,IF(RegExpExtract(H60,".$")="u",10^-6,IF(RegExpExtract(H60,".$")="n",10^-9,IF(RegExpExtract(H60,".$")="p",10^-12,1))))</f>
        <v>-10</v>
      </c>
      <c r="W60" s="24">
        <f>VALUE(RegExpExtract(I60,"(\d|[,-])+"))*IF(RegExpExtract(I60,".$")="m",10^-3,IF(RegExpExtract(I60,".$")="u",10^-6,IF(RegExpExtract(I60,".$")="n",10^-9,IF(RegExpExtract(I60,".$")="p",10^-12,1))))</f>
        <v>-10</v>
      </c>
      <c r="X60" s="24">
        <f>VALUE(RegExpExtract(J60,"(\d|[,-])+"))*IF(RegExpExtract(J60,".$")="m",10^-3,IF(RegExpExtract(J60,".$")="u",10^-6,IF(RegExpExtract(J60,".$")="n",10^-9,IF(RegExpExtract(J60,".$")="p",10^-12,1))))</f>
        <v>-10</v>
      </c>
      <c r="Y60" s="24">
        <f>VALUE(RegExpExtract(K60,"(\d|[,-])+"))*IF(RegExpExtract(K60,".$")="m",10^-3,IF(RegExpExtract(K60,".$")="u",10^-6,IF(RegExpExtract(K60,".$")="n",10^-9,IF(RegExpExtract(K60,".$")="p",10^-12,1))))</f>
        <v>-10</v>
      </c>
      <c r="Z60" s="24">
        <f>VALUE(RegExpExtract(L60,"(\d|[,-])+"))*IF(RegExpExtract(L60,".$")="m",10^-3,IF(RegExpExtract(L60,".$")="u",10^-6,IF(RegExpExtract(L60,".$")="n",10^-9,IF(RegExpExtract(L60,".$")="p",10^-12,1))))</f>
        <v>-10</v>
      </c>
      <c r="AA60" s="24">
        <f>VALUE(RegExpExtract(M60,"(\d|[,-])+"))*IF(RegExpExtract(M60,".$")="m",10^-3,IF(RegExpExtract(M60,".$")="u",10^-6,IF(RegExpExtract(M60,".$")="n",10^-9,IF(RegExpExtract(M60,".$")="p",10^-12,1))))</f>
        <v>-10</v>
      </c>
    </row>
    <row r="61" spans="1:27" ht="15.75" thickBot="1">
      <c r="A61" s="47" t="s">
        <v>113</v>
      </c>
      <c r="B61" s="5">
        <v>0</v>
      </c>
      <c r="C61" s="5">
        <v>0.02</v>
      </c>
      <c r="D61" s="5">
        <v>0.04</v>
      </c>
      <c r="E61" s="5">
        <v>0.08</v>
      </c>
      <c r="F61" s="5">
        <v>0.16</v>
      </c>
      <c r="G61" s="5">
        <v>0.2</v>
      </c>
      <c r="H61" s="5">
        <v>0.3</v>
      </c>
      <c r="I61" s="5">
        <v>0.4</v>
      </c>
      <c r="J61" s="5">
        <v>0.5</v>
      </c>
      <c r="K61" s="5">
        <v>1</v>
      </c>
      <c r="L61" s="5">
        <v>1.5</v>
      </c>
      <c r="M61" s="22">
        <v>2</v>
      </c>
      <c r="N61" s="26" t="s">
        <v>111</v>
      </c>
      <c r="O61" s="29"/>
      <c r="P61" s="30">
        <f>VALUE(RegExpExtract(B61,"(\d|[,-])+"))*IF(RegExpExtract(B61,".$")="m",10^-3,IF(RegExpExtract(B61,".$")="u",10^-6,IF(RegExpExtract(B61,".$")="n",10^-9,IF(RegExpExtract(B61,".$")="p",10^-12,1))))</f>
        <v>0</v>
      </c>
      <c r="Q61" s="30">
        <f>VALUE(RegExpExtract(C61,"(\d|[,-])+"))*IF(RegExpExtract(C61,".$")="m",10^-3,IF(RegExpExtract(C61,".$")="u",10^-6,IF(RegExpExtract(C61,".$")="n",10^-9,IF(RegExpExtract(C61,".$")="p",10^-12,1))))</f>
        <v>0.02</v>
      </c>
      <c r="R61" s="30">
        <f>VALUE(RegExpExtract(D61,"(\d|[,-])+"))*IF(RegExpExtract(D61,".$")="m",10^-3,IF(RegExpExtract(D61,".$")="u",10^-6,IF(RegExpExtract(D61,".$")="n",10^-9,IF(RegExpExtract(D61,".$")="p",10^-12,1))))</f>
        <v>0.04</v>
      </c>
      <c r="S61" s="30">
        <f>VALUE(RegExpExtract(E61,"(\d|[,-])+"))*IF(RegExpExtract(E61,".$")="m",10^-3,IF(RegExpExtract(E61,".$")="u",10^-6,IF(RegExpExtract(E61,".$")="n",10^-9,IF(RegExpExtract(E61,".$")="p",10^-12,1))))</f>
        <v>0.08</v>
      </c>
      <c r="T61" s="30">
        <f>VALUE(RegExpExtract(F61,"(\d|[,-])+"))*IF(RegExpExtract(F61,".$")="m",10^-3,IF(RegExpExtract(F61,".$")="u",10^-6,IF(RegExpExtract(F61,".$")="n",10^-9,IF(RegExpExtract(F61,".$")="p",10^-12,1))))</f>
        <v>0.16</v>
      </c>
      <c r="U61" s="30">
        <f>VALUE(RegExpExtract(G61,"(\d|[,-])+"))*IF(RegExpExtract(G61,".$")="m",10^-3,IF(RegExpExtract(G61,".$")="u",10^-6,IF(RegExpExtract(G61,".$")="n",10^-9,IF(RegExpExtract(G61,".$")="p",10^-12,1))))</f>
        <v>0.2</v>
      </c>
      <c r="V61" s="30">
        <f>VALUE(RegExpExtract(H61,"(\d|[,-])+"))*IF(RegExpExtract(H61,".$")="m",10^-3,IF(RegExpExtract(H61,".$")="u",10^-6,IF(RegExpExtract(H61,".$")="n",10^-9,IF(RegExpExtract(H61,".$")="p",10^-12,1))))</f>
        <v>0.3</v>
      </c>
      <c r="W61" s="30">
        <f>VALUE(RegExpExtract(I61,"(\d|[,-])+"))*IF(RegExpExtract(I61,".$")="m",10^-3,IF(RegExpExtract(I61,".$")="u",10^-6,IF(RegExpExtract(I61,".$")="n",10^-9,IF(RegExpExtract(I61,".$")="p",10^-12,1))))</f>
        <v>0.4</v>
      </c>
      <c r="X61" s="30">
        <f>VALUE(RegExpExtract(J61,"(\d|[,-])+"))*IF(RegExpExtract(J61,".$")="m",10^-3,IF(RegExpExtract(J61,".$")="u",10^-6,IF(RegExpExtract(J61,".$")="n",10^-9,IF(RegExpExtract(J61,".$")="p",10^-12,1))))</f>
        <v>0.5</v>
      </c>
      <c r="Y61" s="30">
        <f>VALUE(RegExpExtract(K61,"(\d|[,-])+"))*IF(RegExpExtract(K61,".$")="m",10^-3,IF(RegExpExtract(K61,".$")="u",10^-6,IF(RegExpExtract(K61,".$")="n",10^-9,IF(RegExpExtract(K61,".$")="p",10^-12,1))))</f>
        <v>1</v>
      </c>
      <c r="Z61" s="30">
        <f>VALUE(RegExpExtract(L61,"(\d|[,-])+"))*IF(RegExpExtract(L61,".$")="m",10^-3,IF(RegExpExtract(L61,".$")="u",10^-6,IF(RegExpExtract(L61,".$")="n",10^-9,IF(RegExpExtract(L61,".$")="p",10^-12,1))))</f>
        <v>1.5</v>
      </c>
      <c r="AA61" s="31">
        <f>VALUE(RegExpExtract(M61,"(\d|[,-])+"))*IF(RegExpExtract(M61,".$")="m",10^-3,IF(RegExpExtract(M61,".$")="u",10^-6,IF(RegExpExtract(M61,".$")="n",10^-9,IF(RegExpExtract(M61,".$")="p",10^-12,1))))</f>
        <v>2</v>
      </c>
    </row>
    <row r="62" spans="1:27" ht="15.75" thickBot="1"/>
    <row r="63" spans="1:27" ht="15.75" thickBot="1">
      <c r="A63" s="6" t="s">
        <v>0</v>
      </c>
    </row>
    <row r="64" spans="1:27">
      <c r="A64" s="23">
        <v>1</v>
      </c>
      <c r="B64" t="str">
        <f>CONCATENATE(TEXT(P64*IF(AND(P64&lt;1,P64&gt;10^-3),10^3,IF(AND(P64&lt;10^-3,P64&gt;10^-6),10^6,IF(AND(P64&lt;10^-6,P64&gt;10^-9),10^9,1))),"#"),IF(AND(P64&lt;1,P64&gt;10^-3),"m",IF(AND(P64&lt;10^-3,P64&gt;10^-6),"u",IF(AND(P64&lt;10^-6,P64&gt;10^-9),"n",""))))</f>
        <v>775m</v>
      </c>
      <c r="C64" t="str">
        <f t="shared" ref="C64:C72" si="29">CONCATENATE(TEXT(Q64*IF(AND(Q64&lt;1,Q64&gt;10^-3),10^3,IF(AND(Q64&lt;10^-3,Q64&gt;10^-6),10^6,IF(AND(Q64&lt;10^-6,Q64&gt;10^-9),10^9,1))),"#"),IF(AND(Q64&lt;1,Q64&gt;10^-3),"m",IF(AND(Q64&lt;10^-3,Q64&gt;10^-6),"u",IF(AND(Q64&lt;10^-6,Q64&gt;10^-9),"n",""))))</f>
        <v>786m</v>
      </c>
      <c r="D64" t="str">
        <f t="shared" ref="D64:D72" si="30">CONCATENATE(TEXT(R64*IF(AND(R64&lt;1,R64&gt;10^-3),10^3,IF(AND(R64&lt;10^-3,R64&gt;10^-6),10^6,IF(AND(R64&lt;10^-6,R64&gt;10^-9),10^9,1))),"#"),IF(AND(R64&lt;1,R64&gt;10^-3),"m",IF(AND(R64&lt;10^-3,R64&gt;10^-6),"u",IF(AND(R64&lt;10^-6,R64&gt;10^-9),"n",""))))</f>
        <v>808m</v>
      </c>
      <c r="E64" t="str">
        <f t="shared" ref="E64:E72" si="31">CONCATENATE(TEXT(S64*IF(AND(S64&lt;1,S64&gt;10^-3),10^3,IF(AND(S64&lt;10^-3,S64&gt;10^-6),10^6,IF(AND(S64&lt;10^-6,S64&gt;10^-9),10^9,1))),"#"),IF(AND(S64&lt;1,S64&gt;10^-3),"m",IF(AND(S64&lt;10^-3,S64&gt;10^-6),"u",IF(AND(S64&lt;10^-6,S64&gt;10^-9),"n",""))))</f>
        <v>855m</v>
      </c>
      <c r="F64" t="str">
        <f t="shared" ref="F64:F72" si="32">CONCATENATE(TEXT(T64*IF(AND(T64&lt;1,T64&gt;10^-3),10^3,IF(AND(T64&lt;10^-3,T64&gt;10^-6),10^6,IF(AND(T64&lt;10^-6,T64&gt;10^-9),10^9,1))),"#"),IF(AND(T64&lt;1,T64&gt;10^-3),"m",IF(AND(T64&lt;10^-3,T64&gt;10^-6),"u",IF(AND(T64&lt;10^-6,T64&gt;10^-9),"n",""))))</f>
        <v>935m</v>
      </c>
      <c r="G64" t="str">
        <f t="shared" ref="G64:G72" si="33">CONCATENATE(TEXT(U64*IF(AND(U64&lt;1,U64&gt;10^-3),10^3,IF(AND(U64&lt;10^-3,U64&gt;10^-6),10^6,IF(AND(U64&lt;10^-6,U64&gt;10^-9),10^9,1))),"#"),IF(AND(U64&lt;1,U64&gt;10^-3),"m",IF(AND(U64&lt;10^-3,U64&gt;10^-6),"u",IF(AND(U64&lt;10^-6,U64&gt;10^-9),"n",""))))</f>
        <v>975m</v>
      </c>
      <c r="H64" t="str">
        <f t="shared" ref="H64:H72" si="34">CONCATENATE(TEXT(V64*IF(AND(V64&lt;1,V64&gt;10^-3),10^3,IF(AND(V64&lt;10^-3,V64&gt;10^-6),10^6,IF(AND(V64&lt;10^-6,V64&gt;10^-9),10^9,1))),"#"),IF(AND(V64&lt;1,V64&gt;10^-3),"m",IF(AND(V64&lt;10^-3,V64&gt;10^-6),"u",IF(AND(V64&lt;10^-6,V64&gt;10^-9),"n",""))))</f>
        <v>1</v>
      </c>
      <c r="I64" t="str">
        <f t="shared" ref="I64:I72" si="35">CONCATENATE(TEXT(W64*IF(AND(W64&lt;1,W64&gt;10^-3),10^3,IF(AND(W64&lt;10^-3,W64&gt;10^-6),10^6,IF(AND(W64&lt;10^-6,W64&gt;10^-9),10^9,1))),"#"),IF(AND(W64&lt;1,W64&gt;10^-3),"m",IF(AND(W64&lt;10^-3,W64&gt;10^-6),"u",IF(AND(W64&lt;10^-6,W64&gt;10^-9),"n",""))))</f>
        <v>1</v>
      </c>
      <c r="J64" t="str">
        <f t="shared" ref="J64:J72" si="36">CONCATENATE(TEXT(X64*IF(AND(X64&lt;1,X64&gt;10^-3),10^3,IF(AND(X64&lt;10^-3,X64&gt;10^-6),10^6,IF(AND(X64&lt;10^-6,X64&gt;10^-9),10^9,1))),"#"),IF(AND(X64&lt;1,X64&gt;10^-3),"m",IF(AND(X64&lt;10^-3,X64&gt;10^-6),"u",IF(AND(X64&lt;10^-6,X64&gt;10^-9),"n",""))))</f>
        <v>1</v>
      </c>
      <c r="K64" t="str">
        <f t="shared" ref="K64:K72" si="37">CONCATENATE(TEXT(Y64*IF(AND(Y64&lt;1,Y64&gt;10^-3),10^3,IF(AND(Y64&lt;10^-3,Y64&gt;10^-6),10^6,IF(AND(Y64&lt;10^-6,Y64&gt;10^-9),10^9,1))),"#"),IF(AND(Y64&lt;1,Y64&gt;10^-3),"m",IF(AND(Y64&lt;10^-3,Y64&gt;10^-6),"u",IF(AND(Y64&lt;10^-6,Y64&gt;10^-9),"n",""))))</f>
        <v>2</v>
      </c>
      <c r="L64" t="str">
        <f t="shared" ref="L64:L72" si="38">CONCATENATE(TEXT(Z64*IF(AND(Z64&lt;1,Z64&gt;10^-3),10^3,IF(AND(Z64&lt;10^-3,Z64&gt;10^-6),10^6,IF(AND(Z64&lt;10^-6,Z64&gt;10^-9),10^9,1))),"#"),IF(AND(Z64&lt;1,Z64&gt;10^-3),"m",IF(AND(Z64&lt;10^-3,Z64&gt;10^-6),"u",IF(AND(Z64&lt;10^-6,Z64&gt;10^-9),"n",""))))</f>
        <v>2</v>
      </c>
      <c r="M64" t="str">
        <f t="shared" ref="M64:M72" si="39">CONCATENATE(TEXT(AA64*IF(AND(AA64&lt;1,AA64&gt;10^-3),10^3,IF(AND(AA64&lt;10^-3,AA64&gt;10^-6),10^6,IF(AND(AA64&lt;10^-6,AA64&gt;10^-9),10^9,1))),"#"),IF(AND(AA64&lt;1,AA64&gt;10^-3),"m",IF(AND(AA64&lt;10^-3,AA64&gt;10^-6),"u",IF(AND(AA64&lt;10^-6,AA64&gt;10^-9),"n",""))))</f>
        <v>3</v>
      </c>
      <c r="O64" s="23">
        <v>1</v>
      </c>
      <c r="P64">
        <f>P52*$O52+P$24*P40</f>
        <v>0.77500000000000002</v>
      </c>
      <c r="Q64">
        <f>Q52*$O52+Q$24*Q40</f>
        <v>0.78614000000000006</v>
      </c>
      <c r="R64">
        <f>R52*$O52+R$24*R40</f>
        <v>0.80784</v>
      </c>
      <c r="S64">
        <f>S52*$O52+S$24*S40</f>
        <v>0.85499999999999998</v>
      </c>
      <c r="T64">
        <f>T52*$O52+T$24*T40</f>
        <v>0.93500000000000005</v>
      </c>
      <c r="U64">
        <f>U52*$O52+U$24*U40</f>
        <v>0.97500000000000009</v>
      </c>
      <c r="V64">
        <f>V52*$O52+V$24*V40</f>
        <v>1.075</v>
      </c>
      <c r="W64">
        <f>W52*$O52+W$24*W40</f>
        <v>1.175</v>
      </c>
      <c r="X64">
        <f>X52*$O52+X$24*X40</f>
        <v>1.2749999999999999</v>
      </c>
      <c r="Y64">
        <f>Y52*$O52+Y$24*Y40</f>
        <v>1.7749999999999999</v>
      </c>
      <c r="Z64">
        <f>Z52*$O52+Z$24*Z40</f>
        <v>2.2749999999999999</v>
      </c>
      <c r="AA64">
        <f>AA52*$O52+AA$24*AA40</f>
        <v>2.7749999999999999</v>
      </c>
    </row>
    <row r="65" spans="1:27">
      <c r="A65" s="11" t="s">
        <v>14</v>
      </c>
      <c r="B65" t="str">
        <f t="shared" ref="B65:B72" si="40">CONCATENATE(TEXT(P65*IF(AND(P65&lt;1,P65&gt;10^-3),10^3,IF(AND(P65&lt;10^-3,P65&gt;10^-6),10^6,IF(AND(P65&lt;10^-6,P65&gt;10^-9),10^9,1))),"#"),IF(AND(P65&lt;1,P65&gt;10^-3),"m",IF(AND(P65&lt;10^-3,P65&gt;10^-6),"u",IF(AND(P65&lt;10^-6,P65&gt;10^-9),"n",""))))</f>
        <v>71m</v>
      </c>
      <c r="C65" t="str">
        <f t="shared" si="29"/>
        <v>72m</v>
      </c>
      <c r="D65" t="str">
        <f t="shared" si="30"/>
        <v>75m</v>
      </c>
      <c r="E65" t="str">
        <f t="shared" si="31"/>
        <v>79m</v>
      </c>
      <c r="F65" t="str">
        <f t="shared" si="32"/>
        <v>87m</v>
      </c>
      <c r="G65" t="str">
        <f t="shared" si="33"/>
        <v>91m</v>
      </c>
      <c r="H65" t="str">
        <f t="shared" si="34"/>
        <v>101m</v>
      </c>
      <c r="I65" t="str">
        <f t="shared" si="35"/>
        <v>111m</v>
      </c>
      <c r="J65" t="str">
        <f t="shared" si="36"/>
        <v>121m</v>
      </c>
      <c r="K65" t="str">
        <f t="shared" si="37"/>
        <v>171m</v>
      </c>
      <c r="L65" t="str">
        <f t="shared" si="38"/>
        <v>221m</v>
      </c>
      <c r="M65" t="str">
        <f t="shared" si="39"/>
        <v>271m</v>
      </c>
      <c r="O65" s="11" t="s">
        <v>14</v>
      </c>
      <c r="P65">
        <f>P53*$O53+P$24*P41</f>
        <v>7.1400000000000005E-2</v>
      </c>
      <c r="Q65">
        <f>Q53*$O53+Q$24*Q41</f>
        <v>7.2460000000000011E-2</v>
      </c>
      <c r="R65">
        <f>R53*$O53+R$24*R41</f>
        <v>7.4520000000000003E-2</v>
      </c>
      <c r="S65">
        <f>S53*$O53+S$24*S41</f>
        <v>7.9000000000000001E-2</v>
      </c>
      <c r="T65">
        <f>T53*$O53+T$24*T41</f>
        <v>8.7240000000000012E-2</v>
      </c>
      <c r="U65">
        <f>U53*$O53+U$24*U41</f>
        <v>9.1400000000000009E-2</v>
      </c>
      <c r="V65">
        <f>V53*$O53+V$24*V41</f>
        <v>0.1014</v>
      </c>
      <c r="W65">
        <f>W53*$O53+W$24*W41</f>
        <v>0.11140000000000001</v>
      </c>
      <c r="X65">
        <f>X53*$O53+X$24*X41</f>
        <v>0.12140000000000001</v>
      </c>
      <c r="Y65">
        <f>Y53*$O53+Y$24*Y41</f>
        <v>0.1714</v>
      </c>
      <c r="Z65">
        <f>Z53*$O53+Z$24*Z41</f>
        <v>0.22140000000000004</v>
      </c>
      <c r="AA65">
        <f>AA53*$O53+AA$24*AA41</f>
        <v>0.27140000000000003</v>
      </c>
    </row>
    <row r="66" spans="1:27">
      <c r="A66" s="11" t="s">
        <v>13</v>
      </c>
      <c r="B66" t="str">
        <f t="shared" si="40"/>
        <v>7m</v>
      </c>
      <c r="C66" t="str">
        <f t="shared" si="29"/>
        <v>7m</v>
      </c>
      <c r="D66" t="str">
        <f t="shared" si="30"/>
        <v>7m</v>
      </c>
      <c r="E66" t="str">
        <f t="shared" si="31"/>
        <v>7m</v>
      </c>
      <c r="F66" t="str">
        <f t="shared" si="32"/>
        <v>8m</v>
      </c>
      <c r="G66" t="str">
        <f t="shared" si="33"/>
        <v>9m</v>
      </c>
      <c r="H66" t="str">
        <f t="shared" si="34"/>
        <v>10m</v>
      </c>
      <c r="I66" t="str">
        <f t="shared" si="35"/>
        <v>11m</v>
      </c>
      <c r="J66" t="str">
        <f t="shared" si="36"/>
        <v>12m</v>
      </c>
      <c r="K66" t="str">
        <f t="shared" si="37"/>
        <v>17m</v>
      </c>
      <c r="L66" t="str">
        <f t="shared" si="38"/>
        <v>22m</v>
      </c>
      <c r="M66" t="str">
        <f t="shared" si="39"/>
        <v>27m</v>
      </c>
      <c r="O66" s="11" t="s">
        <v>13</v>
      </c>
      <c r="P66">
        <f>P54*$O54+P$24*P42</f>
        <v>6.5500000000000003E-3</v>
      </c>
      <c r="Q66">
        <f>Q54*$O54+Q$24*Q42</f>
        <v>6.6579999999999999E-3</v>
      </c>
      <c r="R66">
        <f>R54*$O54+R$24*R42</f>
        <v>6.8660000000000006E-3</v>
      </c>
      <c r="S66">
        <f>S54*$O54+S$24*S42</f>
        <v>7.3179999999999999E-3</v>
      </c>
      <c r="T66">
        <f>T54*$O54+T$24*T42</f>
        <v>8.150000000000001E-3</v>
      </c>
      <c r="U66">
        <f>U54*$O54+U$24*U42</f>
        <v>8.5500000000000003E-3</v>
      </c>
      <c r="V66">
        <f>V54*$O54+V$24*V42</f>
        <v>9.5499999999999995E-3</v>
      </c>
      <c r="W66">
        <f>W54*$O54+W$24*W42</f>
        <v>1.055E-2</v>
      </c>
      <c r="X66">
        <f>X54*$O54+X$24*X42</f>
        <v>1.1550000000000001E-2</v>
      </c>
      <c r="Y66">
        <f>Y54*$O54+Y$24*Y42</f>
        <v>1.6550000000000002E-2</v>
      </c>
      <c r="Z66">
        <f>Z54*$O54+Z$24*Z42</f>
        <v>2.155E-2</v>
      </c>
      <c r="AA66">
        <f>AA54*$O54+AA$24*AA42</f>
        <v>2.6550000000000001E-2</v>
      </c>
    </row>
    <row r="67" spans="1:27">
      <c r="A67" s="11" t="s">
        <v>12</v>
      </c>
      <c r="B67" t="str">
        <f t="shared" si="40"/>
        <v>596u</v>
      </c>
      <c r="C67" t="str">
        <f t="shared" si="29"/>
        <v>607u</v>
      </c>
      <c r="D67" t="str">
        <f t="shared" si="30"/>
        <v>627u</v>
      </c>
      <c r="E67" t="str">
        <f t="shared" si="31"/>
        <v>672u</v>
      </c>
      <c r="F67" t="str">
        <f t="shared" si="32"/>
        <v>756u</v>
      </c>
      <c r="G67" t="str">
        <f t="shared" si="33"/>
        <v>796u</v>
      </c>
      <c r="H67" t="str">
        <f t="shared" si="34"/>
        <v>896u</v>
      </c>
      <c r="I67" t="str">
        <f t="shared" si="35"/>
        <v>996u</v>
      </c>
      <c r="J67" t="str">
        <f t="shared" si="36"/>
        <v>1m</v>
      </c>
      <c r="K67" t="str">
        <f t="shared" si="37"/>
        <v>2m</v>
      </c>
      <c r="L67" t="str">
        <f t="shared" si="38"/>
        <v>2m</v>
      </c>
      <c r="M67" t="str">
        <f t="shared" si="39"/>
        <v>3m</v>
      </c>
      <c r="O67" s="11" t="s">
        <v>12</v>
      </c>
      <c r="P67">
        <f>P55*$O55+P$24*P43</f>
        <v>5.9599999999999996E-4</v>
      </c>
      <c r="Q67">
        <f>Q55*$O55+Q$24*Q43</f>
        <v>6.0665999999999997E-4</v>
      </c>
      <c r="R67">
        <f>R55*$O55+R$24*R43</f>
        <v>6.2739999999999996E-4</v>
      </c>
      <c r="S67">
        <f>S55*$O55+S$24*S43</f>
        <v>6.7247999999999993E-4</v>
      </c>
      <c r="T67">
        <f>T55*$O55+T$24*T43</f>
        <v>7.5599999999999994E-4</v>
      </c>
      <c r="U67">
        <f>U55*$O55+U$24*U43</f>
        <v>7.9599999999999994E-4</v>
      </c>
      <c r="V67">
        <f>V55*$O55+V$24*V43</f>
        <v>8.9599999999999988E-4</v>
      </c>
      <c r="W67">
        <f>W55*$O55+W$24*W43</f>
        <v>9.9599999999999992E-4</v>
      </c>
      <c r="X67">
        <f>X55*$O55+X$24*X43</f>
        <v>1.096E-3</v>
      </c>
      <c r="Y67">
        <f>Y55*$O55+Y$24*Y43</f>
        <v>1.596E-3</v>
      </c>
      <c r="Z67">
        <f>Z55*$O55+Z$24*Z43</f>
        <v>2.0959999999999998E-3</v>
      </c>
      <c r="AA67">
        <f>AA55*$O55+AA$24*AA43</f>
        <v>2.5960000000000002E-3</v>
      </c>
    </row>
    <row r="68" spans="1:27">
      <c r="A68" s="11" t="s">
        <v>11</v>
      </c>
      <c r="B68" t="str">
        <f t="shared" si="40"/>
        <v>54u</v>
      </c>
      <c r="C68" t="str">
        <f t="shared" si="29"/>
        <v>55u</v>
      </c>
      <c r="D68" t="str">
        <f t="shared" si="30"/>
        <v>57u</v>
      </c>
      <c r="E68" t="str">
        <f t="shared" si="31"/>
        <v>61u</v>
      </c>
      <c r="F68" t="str">
        <f t="shared" si="32"/>
        <v>70u</v>
      </c>
      <c r="G68" t="str">
        <f t="shared" si="33"/>
        <v>74u</v>
      </c>
      <c r="H68" t="str">
        <f t="shared" si="34"/>
        <v>84u</v>
      </c>
      <c r="I68" t="str">
        <f t="shared" si="35"/>
        <v>94u</v>
      </c>
      <c r="J68" t="str">
        <f t="shared" si="36"/>
        <v>104u</v>
      </c>
      <c r="K68" t="str">
        <f t="shared" si="37"/>
        <v>154u</v>
      </c>
      <c r="L68" t="str">
        <f t="shared" si="38"/>
        <v>204u</v>
      </c>
      <c r="M68" t="str">
        <f t="shared" si="39"/>
        <v>254u</v>
      </c>
      <c r="O68" s="11" t="s">
        <v>11</v>
      </c>
      <c r="P68">
        <f>P56*$O56+P$24*P44</f>
        <v>5.3600000000000002E-5</v>
      </c>
      <c r="Q68">
        <f>Q56*$O56+Q$24*Q44</f>
        <v>5.4660000000000002E-5</v>
      </c>
      <c r="R68">
        <f>R56*$O56+R$24*R44</f>
        <v>5.6759999999999999E-5</v>
      </c>
      <c r="S68">
        <f>S56*$O56+S$24*S44</f>
        <v>6.128000000000001E-5</v>
      </c>
      <c r="T68">
        <f>T56*$O56+T$24*T44</f>
        <v>6.9599999999999998E-5</v>
      </c>
      <c r="U68">
        <f>U56*$O56+U$24*U44</f>
        <v>7.36E-5</v>
      </c>
      <c r="V68">
        <f>V56*$O56+V$24*V44</f>
        <v>8.3599999999999999E-5</v>
      </c>
      <c r="W68">
        <f>W56*$O56+W$24*W44</f>
        <v>9.3599999999999998E-5</v>
      </c>
      <c r="X68">
        <f>X56*$O56+X$24*X44</f>
        <v>1.036E-4</v>
      </c>
      <c r="Y68">
        <f>Y56*$O56+Y$24*Y44</f>
        <v>1.5359999999999999E-4</v>
      </c>
      <c r="Z68">
        <f>Z56*$O56+Z$24*Z44</f>
        <v>2.0359999999999999E-4</v>
      </c>
      <c r="AA68">
        <f>AA56*$O56+AA$24*AA44</f>
        <v>2.5359999999999998E-4</v>
      </c>
    </row>
    <row r="69" spans="1:27">
      <c r="A69" s="11" t="s">
        <v>10</v>
      </c>
      <c r="B69" t="str">
        <f t="shared" si="40"/>
        <v>5u</v>
      </c>
      <c r="C69" t="str">
        <f t="shared" si="29"/>
        <v>5u</v>
      </c>
      <c r="D69" t="str">
        <f t="shared" si="30"/>
        <v>5u</v>
      </c>
      <c r="E69" t="str">
        <f t="shared" si="31"/>
        <v>6u</v>
      </c>
      <c r="F69" t="str">
        <f t="shared" si="32"/>
        <v>6u</v>
      </c>
      <c r="G69" t="str">
        <f t="shared" si="33"/>
        <v>7u</v>
      </c>
      <c r="H69" t="str">
        <f t="shared" si="34"/>
        <v>8u</v>
      </c>
      <c r="I69" t="str">
        <f t="shared" si="35"/>
        <v>9u</v>
      </c>
      <c r="J69" t="str">
        <f t="shared" si="36"/>
        <v>10u</v>
      </c>
      <c r="K69" t="str">
        <f t="shared" si="37"/>
        <v>15u</v>
      </c>
      <c r="L69" t="str">
        <f t="shared" si="38"/>
        <v>20u</v>
      </c>
      <c r="M69" t="str">
        <f t="shared" si="39"/>
        <v>25u</v>
      </c>
      <c r="O69" s="11" t="s">
        <v>10</v>
      </c>
      <c r="P69">
        <f>P57*$O57+P$24*P45</f>
        <v>4.7600000000000002E-6</v>
      </c>
      <c r="Q69">
        <f>Q57*$O57+Q$24*Q45</f>
        <v>4.8660000000000005E-6</v>
      </c>
      <c r="R69">
        <f>R57*$O57+R$24*R45</f>
        <v>5.0719999999999999E-6</v>
      </c>
      <c r="S69">
        <f>S57*$O57+S$24*S45</f>
        <v>5.5199999999999997E-6</v>
      </c>
      <c r="T69">
        <f>T57*$O57+T$24*T45</f>
        <v>6.3600000000000001E-6</v>
      </c>
      <c r="U69">
        <f>U57*$O57+U$24*U45</f>
        <v>6.7599999999999997E-6</v>
      </c>
      <c r="V69">
        <f>V57*$O57+V$24*V45</f>
        <v>7.7600000000000002E-6</v>
      </c>
      <c r="W69">
        <f>W57*$O57+W$24*W45</f>
        <v>8.7600000000000008E-6</v>
      </c>
      <c r="X69">
        <f>X57*$O57+X$24*X45</f>
        <v>9.7599999999999997E-6</v>
      </c>
      <c r="Y69">
        <f>Y57*$O57+Y$24*Y45</f>
        <v>1.4759999999999999E-5</v>
      </c>
      <c r="Z69">
        <f>Z57*$O57+Z$24*Z45</f>
        <v>1.9760000000000001E-5</v>
      </c>
      <c r="AA69">
        <f>AA57*$O57+AA$24*AA45</f>
        <v>2.476E-5</v>
      </c>
    </row>
    <row r="70" spans="1:27">
      <c r="A70" s="11" t="s">
        <v>4</v>
      </c>
      <c r="B70" t="str">
        <f t="shared" si="40"/>
        <v>416n</v>
      </c>
      <c r="C70" t="str">
        <f t="shared" si="29"/>
        <v>427n</v>
      </c>
      <c r="D70" t="str">
        <f t="shared" si="30"/>
        <v>447n</v>
      </c>
      <c r="E70" t="str">
        <f t="shared" si="31"/>
        <v>492n</v>
      </c>
      <c r="F70" t="str">
        <f t="shared" si="32"/>
        <v>577n</v>
      </c>
      <c r="G70" t="str">
        <f t="shared" si="33"/>
        <v>617n</v>
      </c>
      <c r="H70" t="str">
        <f t="shared" si="34"/>
        <v>717n</v>
      </c>
      <c r="I70" t="str">
        <f t="shared" si="35"/>
        <v>817n</v>
      </c>
      <c r="J70" t="str">
        <f t="shared" si="36"/>
        <v>917n</v>
      </c>
      <c r="K70" t="str">
        <f t="shared" si="37"/>
        <v>1u</v>
      </c>
      <c r="L70" t="str">
        <f t="shared" si="38"/>
        <v>2u</v>
      </c>
      <c r="M70" t="str">
        <f t="shared" si="39"/>
        <v>2u</v>
      </c>
      <c r="O70" s="11" t="s">
        <v>4</v>
      </c>
      <c r="P70">
        <f>P58*$O58+P$24*P46</f>
        <v>4.1600000000000002E-7</v>
      </c>
      <c r="Q70">
        <f>Q58*$O58+Q$24*Q46</f>
        <v>4.2664000000000001E-7</v>
      </c>
      <c r="R70">
        <f>R58*$O58+R$24*R46</f>
        <v>4.4736E-7</v>
      </c>
      <c r="S70">
        <f>S58*$O58+S$24*S46</f>
        <v>4.9232000000000006E-7</v>
      </c>
      <c r="T70">
        <f>T58*$O58+T$24*T46</f>
        <v>5.7668E-7</v>
      </c>
      <c r="U70">
        <f>U58*$O58+U$24*U46</f>
        <v>6.1699999999999998E-7</v>
      </c>
      <c r="V70">
        <f>V58*$O58+V$24*V46</f>
        <v>7.1699999999999997E-7</v>
      </c>
      <c r="W70">
        <f>W58*$O58+W$24*W46</f>
        <v>8.1699999999999997E-7</v>
      </c>
      <c r="X70">
        <f>X58*$O58+X$24*X46</f>
        <v>9.1699999999999997E-7</v>
      </c>
      <c r="Y70">
        <f>Y58*$O58+Y$24*Y46</f>
        <v>1.4169999999999999E-6</v>
      </c>
      <c r="Z70">
        <f>Z58*$O58+Z$24*Z46</f>
        <v>1.917E-6</v>
      </c>
      <c r="AA70">
        <f>AA58*$O58+AA$24*AA46</f>
        <v>2.4169999999999999E-6</v>
      </c>
    </row>
    <row r="71" spans="1:27">
      <c r="A71" s="11">
        <v>0</v>
      </c>
      <c r="B71" t="str">
        <f t="shared" si="40"/>
        <v/>
      </c>
      <c r="C71" t="str">
        <f t="shared" si="29"/>
        <v/>
      </c>
      <c r="D71" t="str">
        <f t="shared" si="30"/>
        <v/>
      </c>
      <c r="E71" t="str">
        <f t="shared" si="31"/>
        <v/>
      </c>
      <c r="F71" t="str">
        <f t="shared" si="32"/>
        <v/>
      </c>
      <c r="G71" t="str">
        <f t="shared" si="33"/>
        <v/>
      </c>
      <c r="H71" t="str">
        <f t="shared" si="34"/>
        <v/>
      </c>
      <c r="I71" t="str">
        <f t="shared" si="35"/>
        <v/>
      </c>
      <c r="J71" t="str">
        <f t="shared" si="36"/>
        <v/>
      </c>
      <c r="K71" t="str">
        <f t="shared" si="37"/>
        <v/>
      </c>
      <c r="L71" t="str">
        <f t="shared" si="38"/>
        <v/>
      </c>
      <c r="M71" t="str">
        <f t="shared" si="39"/>
        <v/>
      </c>
      <c r="O71" s="11">
        <v>0</v>
      </c>
      <c r="P71">
        <f>P59*$O59+P$24*P47</f>
        <v>0</v>
      </c>
      <c r="Q71">
        <f>Q59*$O59+Q$24*Q47</f>
        <v>2.0000000000000002E-15</v>
      </c>
      <c r="R71">
        <f>R59*$O59+R$24*R47</f>
        <v>1.6000000000000001E-14</v>
      </c>
      <c r="S71">
        <f>S59*$O59+S$24*S47</f>
        <v>1.4399999999999999E-13</v>
      </c>
      <c r="T71">
        <f>T59*$O59+T$24*T47</f>
        <v>1.3439999999999999E-12</v>
      </c>
      <c r="U71">
        <f>U59*$O59+U$24*U47</f>
        <v>1.9600000000000001E-12</v>
      </c>
      <c r="V71">
        <f>V59*$O59+V$24*V47</f>
        <v>2.9999999999999997E-12</v>
      </c>
      <c r="W71">
        <f>W59*$O59+W$24*W47</f>
        <v>3.9999999999999999E-12</v>
      </c>
      <c r="X71">
        <f>X59*$O59+X$24*X47</f>
        <v>4.9999999999999997E-12</v>
      </c>
      <c r="Y71">
        <f>Y59*$O59+Y$24*Y47</f>
        <v>9.9999999999999994E-12</v>
      </c>
      <c r="Z71">
        <f>Z59*$O59+Z$24*Z47</f>
        <v>1.5E-11</v>
      </c>
      <c r="AA71">
        <f>AA59*$O59+AA$24*AA47</f>
        <v>1.9999999999999999E-11</v>
      </c>
    </row>
    <row r="72" spans="1:27" ht="15.75" thickBot="1">
      <c r="A72" s="11" t="s">
        <v>104</v>
      </c>
      <c r="B72" t="str">
        <f t="shared" si="40"/>
        <v/>
      </c>
      <c r="C72" t="str">
        <f t="shared" si="29"/>
        <v/>
      </c>
      <c r="D72" t="str">
        <f t="shared" si="30"/>
        <v/>
      </c>
      <c r="E72" t="str">
        <f t="shared" si="31"/>
        <v/>
      </c>
      <c r="F72" t="str">
        <f t="shared" si="32"/>
        <v/>
      </c>
      <c r="G72" t="str">
        <f t="shared" si="33"/>
        <v/>
      </c>
      <c r="H72" t="str">
        <f t="shared" si="34"/>
        <v/>
      </c>
      <c r="I72" t="str">
        <f t="shared" si="35"/>
        <v/>
      </c>
      <c r="J72" t="str">
        <f t="shared" si="36"/>
        <v/>
      </c>
      <c r="K72" t="str">
        <f t="shared" si="37"/>
        <v/>
      </c>
      <c r="L72" t="str">
        <f t="shared" si="38"/>
        <v/>
      </c>
      <c r="M72" t="str">
        <f t="shared" si="39"/>
        <v/>
      </c>
      <c r="O72" s="11" t="s">
        <v>104</v>
      </c>
      <c r="P72">
        <f>P60*$O60+P$24*P48</f>
        <v>9.9999999999999998E-13</v>
      </c>
      <c r="Q72">
        <f>Q60*$O60+Q$24*Q48</f>
        <v>1.002E-12</v>
      </c>
      <c r="R72">
        <f>R60*$O60+R$24*R48</f>
        <v>1.004E-12</v>
      </c>
      <c r="S72">
        <f>S60*$O60+S$24*S48</f>
        <v>1.0079999999999999E-12</v>
      </c>
      <c r="T72">
        <f>T60*$O60+T$24*T48</f>
        <v>1.0159999999999999E-12</v>
      </c>
      <c r="U72">
        <f>U60*$O60+U$24*U48</f>
        <v>1.0199999999999999E-12</v>
      </c>
      <c r="V72">
        <f>V60*$O60+V$24*V48</f>
        <v>1.0300000000000001E-12</v>
      </c>
      <c r="W72">
        <f>W60*$O60+W$24*W48</f>
        <v>1.04E-12</v>
      </c>
      <c r="X72">
        <f>X60*$O60+X$24*X48</f>
        <v>1.05E-12</v>
      </c>
      <c r="Y72">
        <f>Y60*$O60+Y$24*Y48</f>
        <v>1.1E-12</v>
      </c>
      <c r="Z72">
        <f>Z60*$O60+Z$24*Z48</f>
        <v>1.1499999999999999E-12</v>
      </c>
      <c r="AA72">
        <f>AA60*$O60+AA$24*AA48</f>
        <v>1.1999999999999999E-12</v>
      </c>
    </row>
    <row r="73" spans="1:27" ht="15.75" thickBot="1">
      <c r="A73" s="47" t="s">
        <v>108</v>
      </c>
      <c r="B73" s="5">
        <v>0</v>
      </c>
      <c r="C73" s="5">
        <v>0.02</v>
      </c>
      <c r="D73" s="5">
        <v>0.04</v>
      </c>
      <c r="E73" s="5">
        <v>0.08</v>
      </c>
      <c r="F73" s="5">
        <v>0.16</v>
      </c>
      <c r="G73" s="5">
        <v>0.2</v>
      </c>
      <c r="H73" s="5">
        <v>0.3</v>
      </c>
      <c r="I73" s="5">
        <v>0.4</v>
      </c>
      <c r="J73" s="5">
        <v>0.5</v>
      </c>
      <c r="K73" s="5">
        <v>1</v>
      </c>
      <c r="L73" s="5">
        <v>1.5</v>
      </c>
      <c r="M73" s="22">
        <v>2</v>
      </c>
      <c r="N73" s="26" t="s">
        <v>111</v>
      </c>
      <c r="O73" s="9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0:N21"/>
  <sheetViews>
    <sheetView workbookViewId="0">
      <selection activeCell="A11" sqref="A1:N11"/>
    </sheetView>
  </sheetViews>
  <sheetFormatPr defaultRowHeight="15"/>
  <sheetData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RePack by SPecialiST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feelus</dc:creator>
  <cp:lastModifiedBy>feelus</cp:lastModifiedBy>
  <dcterms:created xsi:type="dcterms:W3CDTF">2020-04-24T12:56:11Z</dcterms:created>
  <dcterms:modified xsi:type="dcterms:W3CDTF">2020-04-24T19:43:44Z</dcterms:modified>
</cp:coreProperties>
</file>